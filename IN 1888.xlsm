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aiso\Desktop\"/>
    </mc:Choice>
  </mc:AlternateContent>
  <xr:revisionPtr revIDLastSave="0" documentId="13_ncr:1_{E9D177EB-F5D6-4D3E-9063-B5CDD1E20D31}" xr6:coauthVersionLast="43" xr6:coauthVersionMax="43" xr10:uidLastSave="{00000000-0000-0000-0000-000000000000}"/>
  <bookViews>
    <workbookView xWindow="-108" yWindow="-108" windowWidth="23256" windowHeight="12576" xr2:uid="{0B495F28-179E-478B-A0CC-1564B5D16F09}"/>
  </bookViews>
  <sheets>
    <sheet name="Operações" sheetId="1" r:id="rId1"/>
    <sheet name="Resumo Mensal" sheetId="9" r:id="rId2"/>
    <sheet name="País" sheetId="8" r:id="rId3"/>
    <sheet name="Código Operação" sheetId="2" r:id="rId4"/>
    <sheet name="Tipo NI" sheetId="3" r:id="rId5"/>
    <sheet name="Cripto Ativo Simbolo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9" l="1"/>
  <c r="B4" i="9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G6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2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</calcChain>
</file>

<file path=xl/sharedStrings.xml><?xml version="1.0" encoding="utf-8"?>
<sst xmlns="http://schemas.openxmlformats.org/spreadsheetml/2006/main" count="75" uniqueCount="70">
  <si>
    <t>CompradorTipoNI</t>
  </si>
  <si>
    <t>CompradorCPFCNPJ</t>
  </si>
  <si>
    <t>CompradorNI</t>
  </si>
  <si>
    <t>CompradorNome</t>
  </si>
  <si>
    <t>CompradorEndereco</t>
  </si>
  <si>
    <t>VendedorTipoNI</t>
  </si>
  <si>
    <t>VendedorPais</t>
  </si>
  <si>
    <t>VendedorCPFCNPJ</t>
  </si>
  <si>
    <t>VendedorNI</t>
  </si>
  <si>
    <t>VendedorNome</t>
  </si>
  <si>
    <t>VendedorEndereco</t>
  </si>
  <si>
    <t>Código</t>
  </si>
  <si>
    <t>Código da operação</t>
  </si>
  <si>
    <t>Descrição</t>
  </si>
  <si>
    <t>Compra e venda</t>
  </si>
  <si>
    <t>II</t>
  </si>
  <si>
    <t>Permuta</t>
  </si>
  <si>
    <t>III</t>
  </si>
  <si>
    <t>Doação</t>
  </si>
  <si>
    <t>Transferência de criptoativo para a Exchange</t>
  </si>
  <si>
    <t>Retirada de criptoativo da Exchange</t>
  </si>
  <si>
    <t>Cessão temporária (aluguel)</t>
  </si>
  <si>
    <t>Dação em pagamento</t>
  </si>
  <si>
    <t>Emissão</t>
  </si>
  <si>
    <t>Outras operações que impliquem em transferência de criptoativos.</t>
  </si>
  <si>
    <t>I</t>
  </si>
  <si>
    <t>IV</t>
  </si>
  <si>
    <t>V</t>
  </si>
  <si>
    <t>VI</t>
  </si>
  <si>
    <t>VII</t>
  </si>
  <si>
    <t>VIII</t>
  </si>
  <si>
    <t>IX</t>
  </si>
  <si>
    <t>Código do Tipo</t>
  </si>
  <si>
    <t>CPF</t>
  </si>
  <si>
    <t>CNPJ</t>
  </si>
  <si>
    <t>NIF (Número de Identificação Fiscal Pessoa Física)</t>
  </si>
  <si>
    <t>NIF (Número de Identificação Fiscal Pessoa Jurídica)</t>
  </si>
  <si>
    <t>Passaporte</t>
  </si>
  <si>
    <t>O país da PF ou PJ não possui NIF</t>
  </si>
  <si>
    <t>O país da PF ou PJ POSSUI NIF, mas a pessoa não possui</t>
  </si>
  <si>
    <t>Simbolo</t>
  </si>
  <si>
    <t>BTC</t>
  </si>
  <si>
    <t>Bitcoin</t>
  </si>
  <si>
    <t>ETH</t>
  </si>
  <si>
    <t>Ethereum</t>
  </si>
  <si>
    <t>DCR</t>
  </si>
  <si>
    <t>Decred</t>
  </si>
  <si>
    <t>LTC</t>
  </si>
  <si>
    <t>Litecoin</t>
  </si>
  <si>
    <t>BRZ</t>
  </si>
  <si>
    <t>Brazilian Token</t>
  </si>
  <si>
    <t>BR</t>
  </si>
  <si>
    <t>Brasil</t>
  </si>
  <si>
    <t>EUA</t>
  </si>
  <si>
    <t>Estados Unidos</t>
  </si>
  <si>
    <t>Valor Negociado</t>
  </si>
  <si>
    <t>Mês</t>
  </si>
  <si>
    <t>Compra/Venda</t>
  </si>
  <si>
    <t>Descrição NI</t>
  </si>
  <si>
    <t>Data</t>
  </si>
  <si>
    <t>Descrição País</t>
  </si>
  <si>
    <t>Descrição NI2</t>
  </si>
  <si>
    <t>Descrição País3</t>
  </si>
  <si>
    <t>Limite isenção</t>
  </si>
  <si>
    <t>Cripto</t>
  </si>
  <si>
    <t>Quantidade</t>
  </si>
  <si>
    <t>Taxas</t>
  </si>
  <si>
    <t>Valor</t>
  </si>
  <si>
    <t>País Comprador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</si>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</sst>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4" formatCode="_-[$₿]\ * #,##0.000000_-;\-[$₿]\ * #,##0.000000_-;_-[$₿]\ * &quot;-&quot;??????_-;_-@_-" x16r2:formatCode16="_-[$₿-x-xbt2]\ * #,##0.000000_-;\-[$₿-x-xbt2]\ * #,##0.000000_-;_-[$₿-x-xbt2]\ * &quot;-&quot;????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0" fontId="2" fillId="0" borderId="0" xfId="0" applyFon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44" fontId="0" fillId="0" borderId="0" xfId="1" applyFont="1" applyProtection="1">
      <protection locked="0"/>
    </xf>
    <xf numFmtId="164" fontId="0" fillId="0" borderId="0" xfId="1" applyNumberFormat="1" applyFont="1" applyProtection="1">
      <protection locked="0"/>
    </xf>
    <xf numFmtId="0" fontId="0" fillId="0" borderId="0" xfId="0" applyFill="1" applyProtection="1"/>
    <xf numFmtId="0" fontId="0" fillId="0" borderId="0" xfId="0" applyFill="1" applyProtection="1">
      <protection locked="0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1" xfId="0" applyFont="1" applyBorder="1" applyAlignment="1" applyProtection="1">
      <alignment vertical="center" wrapText="1"/>
      <protection locked="0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2" borderId="1" xfId="0" applyFont="1" applyFill="1" applyBorder="1" applyAlignment="1" applyProtection="1">
      <alignment vertical="center" wrapText="1"/>
      <protection locked="0" hidden="1"/>
    </xf>
    <xf numFmtId="0" fontId="0" fillId="0" borderId="0" xfId="0" applyNumberFormat="1" applyProtection="1">
      <protection hidden="1"/>
    </xf>
    <xf numFmtId="0" fontId="0" fillId="0" borderId="0" xfId="0" applyProtection="1">
      <protection locked="0" hidden="1"/>
    </xf>
    <xf numFmtId="0" fontId="2" fillId="3" borderId="3" xfId="0" applyFont="1" applyFill="1" applyBorder="1" applyAlignment="1">
      <alignment horizontal="center"/>
    </xf>
    <xf numFmtId="44" fontId="0" fillId="0" borderId="5" xfId="1" applyFont="1" applyBorder="1"/>
    <xf numFmtId="0" fontId="2" fillId="3" borderId="6" xfId="0" applyFont="1" applyFill="1" applyBorder="1" applyAlignment="1">
      <alignment horizontal="center"/>
    </xf>
    <xf numFmtId="44" fontId="2" fillId="3" borderId="7" xfId="1" applyFont="1" applyFill="1" applyBorder="1" applyAlignment="1">
      <alignment horizontal="center"/>
    </xf>
    <xf numFmtId="49" fontId="2" fillId="3" borderId="4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</cellXfs>
  <cellStyles count="2">
    <cellStyle name="Moeda" xfId="1" builtinId="4"/>
    <cellStyle name="Normal" xfId="0" builtinId="0"/>
  </cellStyles>
  <dxfs count="27">
    <dxf>
      <numFmt numFmtId="0" formatCode="General"/>
      <protection locked="1" hidden="1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83820</xdr:rowOff>
    </xdr:from>
    <xdr:to>
      <xdr:col>1</xdr:col>
      <xdr:colOff>891540</xdr:colOff>
      <xdr:row>7</xdr:row>
      <xdr:rowOff>7620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3204BC47-438F-4716-972D-0DE81144E2BE}"/>
            </a:ext>
          </a:extLst>
        </xdr:cNvPr>
        <xdr:cNvGrpSpPr/>
      </xdr:nvGrpSpPr>
      <xdr:grpSpPr>
        <a:xfrm>
          <a:off x="114300" y="640080"/>
          <a:ext cx="1805940" cy="655320"/>
          <a:chOff x="2857500" y="1447800"/>
          <a:chExt cx="1805940" cy="647700"/>
        </a:xfrm>
      </xdr:grpSpPr>
      <xdr:sp macro="[0]!GerarArquivoReceita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022C27D-99D9-4B23-8AD5-8D7D985C905D}"/>
              </a:ext>
            </a:extLst>
          </xdr:cNvPr>
          <xdr:cNvSpPr/>
        </xdr:nvSpPr>
        <xdr:spPr>
          <a:xfrm>
            <a:off x="2857500" y="1447800"/>
            <a:ext cx="1805940" cy="6477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shade val="30000"/>
                  <a:satMod val="115000"/>
                </a:schemeClr>
              </a:gs>
              <a:gs pos="50000">
                <a:schemeClr val="accent1">
                  <a:shade val="67500"/>
                  <a:satMod val="115000"/>
                </a:schemeClr>
              </a:gs>
              <a:gs pos="100000">
                <a:schemeClr val="accent1">
                  <a:shade val="100000"/>
                  <a:satMod val="115000"/>
                </a:schemeClr>
              </a:gs>
            </a:gsLst>
            <a:lin ang="16200000" scaled="1"/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 b="1"/>
              <a:t>Gerar Arquivo Receita</a:t>
            </a:r>
          </a:p>
        </xdr:txBody>
      </xdr:sp>
      <xdr:pic macro="[0]!GerarArquivoReceita">
        <xdr:nvPicPr>
          <xdr:cNvPr id="6" name="Gráfico 5" descr="Antena parabólica">
            <a:extLst>
              <a:ext uri="{FF2B5EF4-FFF2-40B4-BE49-F238E27FC236}">
                <a16:creationId xmlns:a16="http://schemas.microsoft.com/office/drawing/2014/main" id="{12E276BF-518F-447D-997D-EA0038BC1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73780" y="1744980"/>
            <a:ext cx="320040" cy="32004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E94108-BE4E-4E18-B943-02DE96082BB9}" name="Tabela2" displayName="Tabela2" ref="A1:X100" totalsRowShown="0" dataDxfId="5" headerRowBorderDxfId="25" tableBorderDxfId="26">
  <autoFilter ref="A1:X100" xr:uid="{59473690-139A-4886-BE6F-F49B13A5640C}"/>
  <tableColumns count="24">
    <tableColumn id="1" xr3:uid="{E9EE208C-A0A6-4A96-B2C5-A10387BAC2D6}" name="Data" dataDxfId="24"/>
    <tableColumn id="2" xr3:uid="{C8E34C66-58C7-4333-9630-99760BD97B6A}" name="Mês" dataDxfId="0">
      <calculatedColumnFormula>IF(A2&lt;&gt;"",MONTH(A2),"")</calculatedColumnFormula>
    </tableColumn>
    <tableColumn id="3" xr3:uid="{5C3F059A-2653-46CF-8178-971BCAEE0C8E}" name="Compra/Venda" dataDxfId="23"/>
    <tableColumn id="4" xr3:uid="{5FF8C497-89CD-46B2-8F95-4FD88A1CBECF}" name="Valor" dataDxfId="22"/>
    <tableColumn id="5" xr3:uid="{A19214CB-C542-428B-927F-C67A454C1D1F}" name="Taxas" dataDxfId="21"/>
    <tableColumn id="6" xr3:uid="{C7576AA2-B7D7-4025-B8DD-D87C601F37A1}" name="Cripto" dataDxfId="20"/>
    <tableColumn id="7" xr3:uid="{9357880B-0D2F-41AA-B0C8-01511B574D2D}" name="Descrição" dataDxfId="19">
      <calculatedColumnFormula>IF(F2&lt;&gt;"",VLOOKUP(F2,'Cripto Ativo Simbolo'!A:B,2,FALSE),"")</calculatedColumnFormula>
    </tableColumn>
    <tableColumn id="8" xr3:uid="{E033876D-D339-4EC0-ADE8-1992F56D9E83}" name="Quantidade" dataDxfId="18"/>
    <tableColumn id="9" xr3:uid="{31BCF58D-99AE-42EC-87F9-EEC7D5EFF73E}" name="CompradorTipoNI" dataDxfId="17"/>
    <tableColumn id="10" xr3:uid="{5FF059E5-4F35-47D0-8869-B971010CDAC5}" name="Descrição NI" dataDxfId="4">
      <calculatedColumnFormula>IF(I2&lt;&gt;"",VLOOKUP(I2,'Tipo NI'!A:B,2,FALSE),"")</calculatedColumnFormula>
    </tableColumn>
    <tableColumn id="11" xr3:uid="{3B68F5C5-E8C0-4BA4-8744-2EC7E616527A}" name="País Comprador" dataDxfId="16"/>
    <tableColumn id="12" xr3:uid="{F4BEB939-A6F8-49D5-AFDD-C4D4B2285F61}" name="Descrição País" dataDxfId="3">
      <calculatedColumnFormula>IF(K2&lt;&gt;"",VLOOKUP(K2,País!A:B,2,FALSE),"")</calculatedColumnFormula>
    </tableColumn>
    <tableColumn id="13" xr3:uid="{FBED916C-D91D-461F-9613-913673C375A5}" name="CompradorCPFCNPJ" dataDxfId="15"/>
    <tableColumn id="14" xr3:uid="{D5FD41E1-8CD7-498E-9844-802ED5DE2718}" name="CompradorNI" dataDxfId="14"/>
    <tableColumn id="15" xr3:uid="{AF8FA87F-E8E8-4879-9C9B-9DBBA96B3A94}" name="CompradorNome" dataDxfId="13"/>
    <tableColumn id="16" xr3:uid="{59B73E12-55FF-465A-A40F-E48D23C246FB}" name="CompradorEndereco" dataDxfId="12"/>
    <tableColumn id="17" xr3:uid="{6E5CC99B-3C38-4A85-AA78-034CC5594A6E}" name="VendedorTipoNI" dataDxfId="11"/>
    <tableColumn id="18" xr3:uid="{A2B592A2-3A76-4368-B05D-74E7B36CCBD2}" name="Descrição NI2" dataDxfId="2">
      <calculatedColumnFormula>IF(Q2&lt;&gt;"",VLOOKUP(Q2,'Tipo NI'!A:B,2,FALSE),"")</calculatedColumnFormula>
    </tableColumn>
    <tableColumn id="19" xr3:uid="{ECEE30CF-EC60-4D5C-A381-9AFF21102CF8}" name="VendedorPais" dataDxfId="10"/>
    <tableColumn id="20" xr3:uid="{F81B0FAA-E3D3-4766-8576-D1539A059482}" name="Descrição País3" dataDxfId="1">
      <calculatedColumnFormula>IF(S2&lt;&gt;"",VLOOKUP(S2,País!A:B,2,FALSE),"")</calculatedColumnFormula>
    </tableColumn>
    <tableColumn id="21" xr3:uid="{6ECEAC03-AD94-49D1-B5C4-ADB40DD823AB}" name="VendedorCPFCNPJ" dataDxfId="9"/>
    <tableColumn id="22" xr3:uid="{26DEF54B-DA08-46C8-B170-AB9AA75CC85E}" name="VendedorNI" dataDxfId="8"/>
    <tableColumn id="23" xr3:uid="{5E0E7A34-E335-4400-ABCD-433688095D70}" name="VendedorNome" dataDxfId="7"/>
    <tableColumn id="24" xr3:uid="{56A54D71-B44A-47BA-8CC2-DAC94FCB28F5}" name="VendedorEndereco" dataDxfId="6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10BF5-29E9-4442-88BD-46937473D4D2}">
  <sheetPr codeName="Planilha1"/>
  <dimension ref="A1:X100"/>
  <sheetViews>
    <sheetView tabSelected="1" workbookViewId="0">
      <selection activeCell="D2" sqref="D2"/>
    </sheetView>
  </sheetViews>
  <sheetFormatPr defaultRowHeight="14.4" x14ac:dyDescent="0.3"/>
  <cols>
    <col min="1" max="1" width="10.5546875" style="3" bestFit="1" customWidth="1"/>
    <col min="2" max="2" width="6.6640625" style="15" hidden="1" customWidth="1"/>
    <col min="3" max="3" width="15.5546875" style="3" bestFit="1" customWidth="1"/>
    <col min="4" max="4" width="9.88671875" style="3" bestFit="1" customWidth="1"/>
    <col min="5" max="5" width="8.88671875" style="3" bestFit="1" customWidth="1"/>
    <col min="6" max="6" width="8.77734375" style="3" bestFit="1" customWidth="1"/>
    <col min="7" max="7" width="11.44140625" style="3" bestFit="1" customWidth="1"/>
    <col min="8" max="8" width="12.6640625" style="3" bestFit="1" customWidth="1"/>
    <col min="9" max="9" width="18.6640625" style="3" bestFit="1" customWidth="1"/>
    <col min="10" max="10" width="13.88671875" style="8" bestFit="1" customWidth="1"/>
    <col min="11" max="11" width="16.88671875" style="3" bestFit="1" customWidth="1"/>
    <col min="12" max="12" width="15.5546875" style="8" bestFit="1" customWidth="1"/>
    <col min="13" max="13" width="19.21875" style="3" customWidth="1"/>
    <col min="14" max="15" width="18.21875" style="3" customWidth="1"/>
    <col min="16" max="16" width="18.6640625" style="3" customWidth="1"/>
    <col min="17" max="17" width="15.5546875" style="3" customWidth="1"/>
    <col min="18" max="20" width="18.21875" style="8" customWidth="1"/>
    <col min="21" max="23" width="18.21875" style="3" customWidth="1"/>
    <col min="24" max="24" width="20.77734375" style="3" bestFit="1" customWidth="1"/>
    <col min="25" max="16384" width="8.88671875" style="3"/>
  </cols>
  <sheetData>
    <row r="1" spans="1:24" ht="17.399999999999999" customHeight="1" thickBot="1" x14ac:dyDescent="0.35">
      <c r="A1" s="9" t="s">
        <v>59</v>
      </c>
      <c r="B1" s="13" t="s">
        <v>56</v>
      </c>
      <c r="C1" s="10" t="s">
        <v>57</v>
      </c>
      <c r="D1" s="10" t="s">
        <v>67</v>
      </c>
      <c r="E1" s="9" t="s">
        <v>66</v>
      </c>
      <c r="F1" s="10" t="s">
        <v>64</v>
      </c>
      <c r="G1" s="11" t="s">
        <v>13</v>
      </c>
      <c r="H1" s="9" t="s">
        <v>65</v>
      </c>
      <c r="I1" s="9" t="s">
        <v>0</v>
      </c>
      <c r="J1" s="12" t="s">
        <v>58</v>
      </c>
      <c r="K1" s="10" t="s">
        <v>68</v>
      </c>
      <c r="L1" s="12" t="s">
        <v>60</v>
      </c>
      <c r="M1" s="9" t="s">
        <v>1</v>
      </c>
      <c r="N1" s="10" t="s">
        <v>2</v>
      </c>
      <c r="O1" s="9" t="s">
        <v>3</v>
      </c>
      <c r="P1" s="10" t="s">
        <v>4</v>
      </c>
      <c r="Q1" s="10" t="s">
        <v>5</v>
      </c>
      <c r="R1" s="12" t="s">
        <v>61</v>
      </c>
      <c r="S1" s="12" t="s">
        <v>6</v>
      </c>
      <c r="T1" s="12" t="s">
        <v>62</v>
      </c>
      <c r="U1" s="10" t="s">
        <v>7</v>
      </c>
      <c r="V1" s="9" t="s">
        <v>8</v>
      </c>
      <c r="W1" s="10" t="s">
        <v>9</v>
      </c>
      <c r="X1" s="9" t="s">
        <v>10</v>
      </c>
    </row>
    <row r="2" spans="1:24" x14ac:dyDescent="0.3">
      <c r="A2" s="4"/>
      <c r="B2" s="14"/>
      <c r="C2" s="22"/>
      <c r="D2" s="5"/>
      <c r="E2" s="5"/>
      <c r="G2" s="7"/>
      <c r="H2" s="6"/>
      <c r="J2" s="7"/>
      <c r="L2" s="7"/>
      <c r="R2" s="7" t="str">
        <f>IF(Q2&lt;&gt;"",VLOOKUP(Q2,'Tipo NI'!A:B,2,FALSE),"")</f>
        <v/>
      </c>
      <c r="T2" s="7"/>
    </row>
    <row r="3" spans="1:24" x14ac:dyDescent="0.3">
      <c r="A3" s="4"/>
      <c r="B3" s="14"/>
      <c r="C3" s="22"/>
      <c r="D3" s="5"/>
      <c r="E3" s="5"/>
      <c r="G3" s="7"/>
      <c r="H3" s="6"/>
      <c r="J3" s="7"/>
      <c r="L3" s="7"/>
      <c r="R3" s="7" t="str">
        <f>IF(Q3&lt;&gt;"",VLOOKUP(Q3,'Tipo NI'!A:B,2,FALSE),"")</f>
        <v/>
      </c>
      <c r="T3" s="7"/>
    </row>
    <row r="4" spans="1:24" x14ac:dyDescent="0.3">
      <c r="A4" s="4"/>
      <c r="B4" s="14"/>
      <c r="C4" s="22"/>
      <c r="D4" s="5"/>
      <c r="E4" s="5"/>
      <c r="G4" s="7"/>
      <c r="H4" s="6"/>
      <c r="J4" s="7"/>
      <c r="L4" s="7"/>
      <c r="R4" s="7" t="str">
        <f>IF(Q4&lt;&gt;"",VLOOKUP(Q4,'Tipo NI'!A:B,2,FALSE),"")</f>
        <v/>
      </c>
      <c r="T4" s="7"/>
    </row>
    <row r="5" spans="1:24" x14ac:dyDescent="0.3">
      <c r="A5" s="4"/>
      <c r="B5" s="14"/>
      <c r="C5" s="22"/>
      <c r="D5" s="5"/>
      <c r="E5" s="5"/>
      <c r="G5" s="7"/>
      <c r="H5" s="6"/>
      <c r="J5" s="7"/>
      <c r="L5" s="7"/>
      <c r="R5" s="7" t="str">
        <f>IF(Q5&lt;&gt;"",VLOOKUP(Q5,'Tipo NI'!A:B,2,FALSE),"")</f>
        <v/>
      </c>
      <c r="T5" s="7"/>
    </row>
    <row r="6" spans="1:24" x14ac:dyDescent="0.3">
      <c r="B6" s="14" t="str">
        <f t="shared" ref="B3:B66" si="0">IF(A6&lt;&gt;"",MONTH(A6),"")</f>
        <v/>
      </c>
      <c r="G6" s="7" t="str">
        <f>IF(F6&lt;&gt;"",VLOOKUP(F6,'Cripto Ativo Simbolo'!A:B,2,FALSE),"")</f>
        <v/>
      </c>
      <c r="J6" s="7" t="str">
        <f>IF(I6&lt;&gt;"",VLOOKUP(I6,'Tipo NI'!A:B,2,FALSE),"")</f>
        <v/>
      </c>
      <c r="L6" s="7" t="str">
        <f>IF(K6&lt;&gt;"",VLOOKUP(K6,País!A:B,2,FALSE),"")</f>
        <v/>
      </c>
      <c r="R6" s="7" t="str">
        <f>IF(Q6&lt;&gt;"",VLOOKUP(Q6,'Tipo NI'!A:B,2,FALSE),"")</f>
        <v/>
      </c>
      <c r="T6" s="7" t="str">
        <f>IF(S6&lt;&gt;"",VLOOKUP(S6,País!A:B,2,FALSE),"")</f>
        <v/>
      </c>
    </row>
    <row r="7" spans="1:24" x14ac:dyDescent="0.3">
      <c r="B7" s="14" t="str">
        <f t="shared" si="0"/>
        <v/>
      </c>
      <c r="G7" s="7" t="str">
        <f>IF(F7&lt;&gt;"",VLOOKUP(F7,'Cripto Ativo Simbolo'!A:B,2,FALSE),"")</f>
        <v/>
      </c>
      <c r="J7" s="7" t="str">
        <f>IF(I7&lt;&gt;"",VLOOKUP(I7,'Tipo NI'!A:B,2,FALSE),"")</f>
        <v/>
      </c>
      <c r="L7" s="7" t="str">
        <f>IF(K7&lt;&gt;"",VLOOKUP(K7,País!A:B,2,FALSE),"")</f>
        <v/>
      </c>
      <c r="R7" s="7" t="str">
        <f>IF(Q7&lt;&gt;"",VLOOKUP(Q7,'Tipo NI'!A:B,2,FALSE),"")</f>
        <v/>
      </c>
      <c r="T7" s="7" t="str">
        <f>IF(S7&lt;&gt;"",VLOOKUP(S7,País!A:B,2,FALSE),"")</f>
        <v/>
      </c>
    </row>
    <row r="8" spans="1:24" x14ac:dyDescent="0.3">
      <c r="B8" s="14" t="str">
        <f t="shared" si="0"/>
        <v/>
      </c>
      <c r="G8" s="7" t="str">
        <f>IF(F8&lt;&gt;"",VLOOKUP(F8,'Cripto Ativo Simbolo'!A:B,2,FALSE),"")</f>
        <v/>
      </c>
      <c r="J8" s="7" t="str">
        <f>IF(I8&lt;&gt;"",VLOOKUP(I8,'Tipo NI'!A:B,2,FALSE),"")</f>
        <v/>
      </c>
      <c r="L8" s="7" t="str">
        <f>IF(K8&lt;&gt;"",VLOOKUP(K8,País!A:B,2,FALSE),"")</f>
        <v/>
      </c>
      <c r="R8" s="7" t="str">
        <f>IF(Q8&lt;&gt;"",VLOOKUP(Q8,'Tipo NI'!A:B,2,FALSE),"")</f>
        <v/>
      </c>
      <c r="T8" s="7" t="str">
        <f>IF(S8&lt;&gt;"",VLOOKUP(S8,País!A:B,2,FALSE),"")</f>
        <v/>
      </c>
    </row>
    <row r="9" spans="1:24" x14ac:dyDescent="0.3">
      <c r="B9" s="14" t="str">
        <f t="shared" si="0"/>
        <v/>
      </c>
      <c r="G9" s="7" t="str">
        <f>IF(F9&lt;&gt;"",VLOOKUP(F9,'Cripto Ativo Simbolo'!A:B,2,FALSE),"")</f>
        <v/>
      </c>
      <c r="J9" s="7" t="str">
        <f>IF(I9&lt;&gt;"",VLOOKUP(I9,'Tipo NI'!A:B,2,FALSE),"")</f>
        <v/>
      </c>
      <c r="L9" s="7" t="str">
        <f>IF(K9&lt;&gt;"",VLOOKUP(K9,País!A:B,2,FALSE),"")</f>
        <v/>
      </c>
      <c r="R9" s="7" t="str">
        <f>IF(Q9&lt;&gt;"",VLOOKUP(Q9,'Tipo NI'!A:B,2,FALSE),"")</f>
        <v/>
      </c>
      <c r="T9" s="7" t="str">
        <f>IF(S9&lt;&gt;"",VLOOKUP(S9,País!A:B,2,FALSE),"")</f>
        <v/>
      </c>
    </row>
    <row r="10" spans="1:24" x14ac:dyDescent="0.3">
      <c r="B10" s="14" t="str">
        <f t="shared" si="0"/>
        <v/>
      </c>
      <c r="G10" s="7" t="str">
        <f>IF(F10&lt;&gt;"",VLOOKUP(F10,'Cripto Ativo Simbolo'!A:B,2,FALSE),"")</f>
        <v/>
      </c>
      <c r="J10" s="7" t="str">
        <f>IF(I10&lt;&gt;"",VLOOKUP(I10,'Tipo NI'!A:B,2,FALSE),"")</f>
        <v/>
      </c>
      <c r="L10" s="7" t="str">
        <f>IF(K10&lt;&gt;"",VLOOKUP(K10,País!A:B,2,FALSE),"")</f>
        <v/>
      </c>
      <c r="R10" s="7" t="str">
        <f>IF(Q10&lt;&gt;"",VLOOKUP(Q10,'Tipo NI'!A:B,2,FALSE),"")</f>
        <v/>
      </c>
      <c r="T10" s="7" t="str">
        <f>IF(S10&lt;&gt;"",VLOOKUP(S10,País!A:B,2,FALSE),"")</f>
        <v/>
      </c>
    </row>
    <row r="11" spans="1:24" x14ac:dyDescent="0.3">
      <c r="B11" s="14" t="str">
        <f t="shared" si="0"/>
        <v/>
      </c>
      <c r="G11" s="7" t="str">
        <f>IF(F11&lt;&gt;"",VLOOKUP(F11,'Cripto Ativo Simbolo'!A:B,2,FALSE),"")</f>
        <v/>
      </c>
      <c r="J11" s="7" t="str">
        <f>IF(I11&lt;&gt;"",VLOOKUP(I11,'Tipo NI'!A:B,2,FALSE),"")</f>
        <v/>
      </c>
      <c r="L11" s="7" t="str">
        <f>IF(K11&lt;&gt;"",VLOOKUP(K11,País!A:B,2,FALSE),"")</f>
        <v/>
      </c>
      <c r="R11" s="7" t="str">
        <f>IF(Q11&lt;&gt;"",VLOOKUP(Q11,'Tipo NI'!A:B,2,FALSE),"")</f>
        <v/>
      </c>
      <c r="T11" s="7" t="str">
        <f>IF(S11&lt;&gt;"",VLOOKUP(S11,País!A:B,2,FALSE),"")</f>
        <v/>
      </c>
    </row>
    <row r="12" spans="1:24" x14ac:dyDescent="0.3">
      <c r="B12" s="14" t="str">
        <f t="shared" si="0"/>
        <v/>
      </c>
      <c r="G12" s="7" t="str">
        <f>IF(F12&lt;&gt;"",VLOOKUP(F12,'Cripto Ativo Simbolo'!A:B,2,FALSE),"")</f>
        <v/>
      </c>
      <c r="J12" s="7" t="str">
        <f>IF(I12&lt;&gt;"",VLOOKUP(I12,'Tipo NI'!A:B,2,FALSE),"")</f>
        <v/>
      </c>
      <c r="L12" s="7" t="str">
        <f>IF(K12&lt;&gt;"",VLOOKUP(K12,País!A:B,2,FALSE),"")</f>
        <v/>
      </c>
      <c r="R12" s="7" t="str">
        <f>IF(Q12&lt;&gt;"",VLOOKUP(Q12,'Tipo NI'!A:B,2,FALSE),"")</f>
        <v/>
      </c>
      <c r="T12" s="7" t="str">
        <f>IF(S12&lt;&gt;"",VLOOKUP(S12,País!A:B,2,FALSE),"")</f>
        <v/>
      </c>
    </row>
    <row r="13" spans="1:24" x14ac:dyDescent="0.3">
      <c r="B13" s="14" t="str">
        <f t="shared" si="0"/>
        <v/>
      </c>
      <c r="G13" s="7" t="str">
        <f>IF(F13&lt;&gt;"",VLOOKUP(F13,'Cripto Ativo Simbolo'!A:B,2,FALSE),"")</f>
        <v/>
      </c>
      <c r="J13" s="7" t="str">
        <f>IF(I13&lt;&gt;"",VLOOKUP(I13,'Tipo NI'!A:B,2,FALSE),"")</f>
        <v/>
      </c>
      <c r="L13" s="7" t="str">
        <f>IF(K13&lt;&gt;"",VLOOKUP(K13,País!A:B,2,FALSE),"")</f>
        <v/>
      </c>
      <c r="R13" s="7" t="str">
        <f>IF(Q13&lt;&gt;"",VLOOKUP(Q13,'Tipo NI'!A:B,2,FALSE),"")</f>
        <v/>
      </c>
      <c r="T13" s="7" t="str">
        <f>IF(S13&lt;&gt;"",VLOOKUP(S13,País!A:B,2,FALSE),"")</f>
        <v/>
      </c>
    </row>
    <row r="14" spans="1:24" x14ac:dyDescent="0.3">
      <c r="B14" s="14" t="str">
        <f t="shared" si="0"/>
        <v/>
      </c>
      <c r="G14" s="7" t="str">
        <f>IF(F14&lt;&gt;"",VLOOKUP(F14,'Cripto Ativo Simbolo'!A:B,2,FALSE),"")</f>
        <v/>
      </c>
      <c r="J14" s="7" t="str">
        <f>IF(I14&lt;&gt;"",VLOOKUP(I14,'Tipo NI'!A:B,2,FALSE),"")</f>
        <v/>
      </c>
      <c r="L14" s="7" t="str">
        <f>IF(K14&lt;&gt;"",VLOOKUP(K14,País!A:B,2,FALSE),"")</f>
        <v/>
      </c>
      <c r="R14" s="7" t="str">
        <f>IF(Q14&lt;&gt;"",VLOOKUP(Q14,'Tipo NI'!A:B,2,FALSE),"")</f>
        <v/>
      </c>
      <c r="T14" s="7" t="str">
        <f>IF(S14&lt;&gt;"",VLOOKUP(S14,País!A:B,2,FALSE),"")</f>
        <v/>
      </c>
    </row>
    <row r="15" spans="1:24" x14ac:dyDescent="0.3">
      <c r="B15" s="14" t="str">
        <f t="shared" si="0"/>
        <v/>
      </c>
      <c r="G15" s="7" t="str">
        <f>IF(F15&lt;&gt;"",VLOOKUP(F15,'Cripto Ativo Simbolo'!A:B,2,FALSE),"")</f>
        <v/>
      </c>
      <c r="J15" s="7" t="str">
        <f>IF(I15&lt;&gt;"",VLOOKUP(I15,'Tipo NI'!A:B,2,FALSE),"")</f>
        <v/>
      </c>
      <c r="L15" s="7" t="str">
        <f>IF(K15&lt;&gt;"",VLOOKUP(K15,País!A:B,2,FALSE),"")</f>
        <v/>
      </c>
      <c r="R15" s="7" t="str">
        <f>IF(Q15&lt;&gt;"",VLOOKUP(Q15,'Tipo NI'!A:B,2,FALSE),"")</f>
        <v/>
      </c>
      <c r="T15" s="7" t="str">
        <f>IF(S15&lt;&gt;"",VLOOKUP(S15,País!A:B,2,FALSE),"")</f>
        <v/>
      </c>
    </row>
    <row r="16" spans="1:24" x14ac:dyDescent="0.3">
      <c r="B16" s="14" t="str">
        <f t="shared" si="0"/>
        <v/>
      </c>
      <c r="G16" s="7" t="str">
        <f>IF(F16&lt;&gt;"",VLOOKUP(F16,'Cripto Ativo Simbolo'!A:B,2,FALSE),"")</f>
        <v/>
      </c>
      <c r="J16" s="7" t="str">
        <f>IF(I16&lt;&gt;"",VLOOKUP(I16,'Tipo NI'!A:B,2,FALSE),"")</f>
        <v/>
      </c>
      <c r="L16" s="7" t="str">
        <f>IF(K16&lt;&gt;"",VLOOKUP(K16,País!A:B,2,FALSE),"")</f>
        <v/>
      </c>
      <c r="R16" s="7" t="str">
        <f>IF(Q16&lt;&gt;"",VLOOKUP(Q16,'Tipo NI'!A:B,2,FALSE),"")</f>
        <v/>
      </c>
      <c r="T16" s="7" t="str">
        <f>IF(S16&lt;&gt;"",VLOOKUP(S16,País!A:B,2,FALSE),"")</f>
        <v/>
      </c>
    </row>
    <row r="17" spans="2:20" x14ac:dyDescent="0.3">
      <c r="B17" s="14" t="str">
        <f t="shared" si="0"/>
        <v/>
      </c>
      <c r="G17" s="7" t="str">
        <f>IF(F17&lt;&gt;"",VLOOKUP(F17,'Cripto Ativo Simbolo'!A:B,2,FALSE),"")</f>
        <v/>
      </c>
      <c r="J17" s="7" t="str">
        <f>IF(I17&lt;&gt;"",VLOOKUP(I17,'Tipo NI'!A:B,2,FALSE),"")</f>
        <v/>
      </c>
      <c r="L17" s="7" t="str">
        <f>IF(K17&lt;&gt;"",VLOOKUP(K17,País!A:B,2,FALSE),"")</f>
        <v/>
      </c>
      <c r="R17" s="7" t="str">
        <f>IF(Q17&lt;&gt;"",VLOOKUP(Q17,'Tipo NI'!A:B,2,FALSE),"")</f>
        <v/>
      </c>
      <c r="T17" s="7" t="str">
        <f>IF(S17&lt;&gt;"",VLOOKUP(S17,País!A:B,2,FALSE),"")</f>
        <v/>
      </c>
    </row>
    <row r="18" spans="2:20" x14ac:dyDescent="0.3">
      <c r="B18" s="14" t="str">
        <f t="shared" si="0"/>
        <v/>
      </c>
      <c r="G18" s="7" t="str">
        <f>IF(F18&lt;&gt;"",VLOOKUP(F18,'Cripto Ativo Simbolo'!A:B,2,FALSE),"")</f>
        <v/>
      </c>
      <c r="J18" s="7" t="str">
        <f>IF(I18&lt;&gt;"",VLOOKUP(I18,'Tipo NI'!A:B,2,FALSE),"")</f>
        <v/>
      </c>
      <c r="L18" s="7" t="str">
        <f>IF(K18&lt;&gt;"",VLOOKUP(K18,País!A:B,2,FALSE),"")</f>
        <v/>
      </c>
      <c r="R18" s="7" t="str">
        <f>IF(Q18&lt;&gt;"",VLOOKUP(Q18,'Tipo NI'!A:B,2,FALSE),"")</f>
        <v/>
      </c>
      <c r="T18" s="7" t="str">
        <f>IF(S18&lt;&gt;"",VLOOKUP(S18,País!A:B,2,FALSE),"")</f>
        <v/>
      </c>
    </row>
    <row r="19" spans="2:20" x14ac:dyDescent="0.3">
      <c r="B19" s="14" t="str">
        <f t="shared" si="0"/>
        <v/>
      </c>
      <c r="G19" s="7" t="str">
        <f>IF(F19&lt;&gt;"",VLOOKUP(F19,'Cripto Ativo Simbolo'!A:B,2,FALSE),"")</f>
        <v/>
      </c>
      <c r="J19" s="7" t="str">
        <f>IF(I19&lt;&gt;"",VLOOKUP(I19,'Tipo NI'!A:B,2,FALSE),"")</f>
        <v/>
      </c>
      <c r="L19" s="7" t="str">
        <f>IF(K19&lt;&gt;"",VLOOKUP(K19,País!A:B,2,FALSE),"")</f>
        <v/>
      </c>
      <c r="R19" s="7" t="str">
        <f>IF(Q19&lt;&gt;"",VLOOKUP(Q19,'Tipo NI'!A:B,2,FALSE),"")</f>
        <v/>
      </c>
      <c r="T19" s="7" t="str">
        <f>IF(S19&lt;&gt;"",VLOOKUP(S19,País!A:B,2,FALSE),"")</f>
        <v/>
      </c>
    </row>
    <row r="20" spans="2:20" x14ac:dyDescent="0.3">
      <c r="B20" s="14" t="str">
        <f t="shared" si="0"/>
        <v/>
      </c>
      <c r="G20" s="7" t="str">
        <f>IF(F20&lt;&gt;"",VLOOKUP(F20,'Cripto Ativo Simbolo'!A:B,2,FALSE),"")</f>
        <v/>
      </c>
      <c r="J20" s="7" t="str">
        <f>IF(I20&lt;&gt;"",VLOOKUP(I20,'Tipo NI'!A:B,2,FALSE),"")</f>
        <v/>
      </c>
      <c r="L20" s="7" t="str">
        <f>IF(K20&lt;&gt;"",VLOOKUP(K20,País!A:B,2,FALSE),"")</f>
        <v/>
      </c>
      <c r="R20" s="7" t="str">
        <f>IF(Q20&lt;&gt;"",VLOOKUP(Q20,'Tipo NI'!A:B,2,FALSE),"")</f>
        <v/>
      </c>
      <c r="T20" s="7" t="str">
        <f>IF(S20&lt;&gt;"",VLOOKUP(S20,País!A:B,2,FALSE),"")</f>
        <v/>
      </c>
    </row>
    <row r="21" spans="2:20" x14ac:dyDescent="0.3">
      <c r="B21" s="14" t="str">
        <f t="shared" si="0"/>
        <v/>
      </c>
      <c r="G21" s="7" t="str">
        <f>IF(F21&lt;&gt;"",VLOOKUP(F21,'Cripto Ativo Simbolo'!A:B,2,FALSE),"")</f>
        <v/>
      </c>
      <c r="J21" s="7" t="str">
        <f>IF(I21&lt;&gt;"",VLOOKUP(I21,'Tipo NI'!A:B,2,FALSE),"")</f>
        <v/>
      </c>
      <c r="L21" s="7" t="str">
        <f>IF(K21&lt;&gt;"",VLOOKUP(K21,País!A:B,2,FALSE),"")</f>
        <v/>
      </c>
      <c r="R21" s="7" t="str">
        <f>IF(Q21&lt;&gt;"",VLOOKUP(Q21,'Tipo NI'!A:B,2,FALSE),"")</f>
        <v/>
      </c>
      <c r="T21" s="7" t="str">
        <f>IF(S21&lt;&gt;"",VLOOKUP(S21,País!A:B,2,FALSE),"")</f>
        <v/>
      </c>
    </row>
    <row r="22" spans="2:20" x14ac:dyDescent="0.3">
      <c r="B22" s="14" t="str">
        <f t="shared" si="0"/>
        <v/>
      </c>
      <c r="G22" s="7" t="str">
        <f>IF(F22&lt;&gt;"",VLOOKUP(F22,'Cripto Ativo Simbolo'!A:B,2,FALSE),"")</f>
        <v/>
      </c>
      <c r="J22" s="7" t="str">
        <f>IF(I22&lt;&gt;"",VLOOKUP(I22,'Tipo NI'!A:B,2,FALSE),"")</f>
        <v/>
      </c>
      <c r="L22" s="7" t="str">
        <f>IF(K22&lt;&gt;"",VLOOKUP(K22,País!A:B,2,FALSE),"")</f>
        <v/>
      </c>
      <c r="R22" s="7" t="str">
        <f>IF(Q22&lt;&gt;"",VLOOKUP(Q22,'Tipo NI'!A:B,2,FALSE),"")</f>
        <v/>
      </c>
      <c r="T22" s="7" t="str">
        <f>IF(S22&lt;&gt;"",VLOOKUP(S22,País!A:B,2,FALSE),"")</f>
        <v/>
      </c>
    </row>
    <row r="23" spans="2:20" x14ac:dyDescent="0.3">
      <c r="B23" s="14" t="str">
        <f t="shared" si="0"/>
        <v/>
      </c>
      <c r="G23" s="7" t="str">
        <f>IF(F23&lt;&gt;"",VLOOKUP(F23,'Cripto Ativo Simbolo'!A:B,2,FALSE),"")</f>
        <v/>
      </c>
      <c r="J23" s="7" t="str">
        <f>IF(I23&lt;&gt;"",VLOOKUP(I23,'Tipo NI'!A:B,2,FALSE),"")</f>
        <v/>
      </c>
      <c r="L23" s="7" t="str">
        <f>IF(K23&lt;&gt;"",VLOOKUP(K23,País!A:B,2,FALSE),"")</f>
        <v/>
      </c>
      <c r="R23" s="7" t="str">
        <f>IF(Q23&lt;&gt;"",VLOOKUP(Q23,'Tipo NI'!A:B,2,FALSE),"")</f>
        <v/>
      </c>
      <c r="T23" s="7" t="str">
        <f>IF(S23&lt;&gt;"",VLOOKUP(S23,País!A:B,2,FALSE),"")</f>
        <v/>
      </c>
    </row>
    <row r="24" spans="2:20" x14ac:dyDescent="0.3">
      <c r="B24" s="14" t="str">
        <f t="shared" si="0"/>
        <v/>
      </c>
      <c r="G24" s="7" t="str">
        <f>IF(F24&lt;&gt;"",VLOOKUP(F24,'Cripto Ativo Simbolo'!A:B,2,FALSE),"")</f>
        <v/>
      </c>
      <c r="J24" s="7" t="str">
        <f>IF(I24&lt;&gt;"",VLOOKUP(I24,'Tipo NI'!A:B,2,FALSE),"")</f>
        <v/>
      </c>
      <c r="L24" s="7" t="str">
        <f>IF(K24&lt;&gt;"",VLOOKUP(K24,País!A:B,2,FALSE),"")</f>
        <v/>
      </c>
      <c r="R24" s="7" t="str">
        <f>IF(Q24&lt;&gt;"",VLOOKUP(Q24,'Tipo NI'!A:B,2,FALSE),"")</f>
        <v/>
      </c>
      <c r="T24" s="7" t="str">
        <f>IF(S24&lt;&gt;"",VLOOKUP(S24,País!A:B,2,FALSE),"")</f>
        <v/>
      </c>
    </row>
    <row r="25" spans="2:20" x14ac:dyDescent="0.3">
      <c r="B25" s="14" t="str">
        <f t="shared" si="0"/>
        <v/>
      </c>
      <c r="G25" s="7" t="str">
        <f>IF(F25&lt;&gt;"",VLOOKUP(F25,'Cripto Ativo Simbolo'!A:B,2,FALSE),"")</f>
        <v/>
      </c>
      <c r="J25" s="7" t="str">
        <f>IF(I25&lt;&gt;"",VLOOKUP(I25,'Tipo NI'!A:B,2,FALSE),"")</f>
        <v/>
      </c>
      <c r="L25" s="7" t="str">
        <f>IF(K25&lt;&gt;"",VLOOKUP(K25,País!A:B,2,FALSE),"")</f>
        <v/>
      </c>
      <c r="R25" s="7" t="str">
        <f>IF(Q25&lt;&gt;"",VLOOKUP(Q25,'Tipo NI'!A:B,2,FALSE),"")</f>
        <v/>
      </c>
      <c r="T25" s="7" t="str">
        <f>IF(S25&lt;&gt;"",VLOOKUP(S25,País!A:B,2,FALSE),"")</f>
        <v/>
      </c>
    </row>
    <row r="26" spans="2:20" x14ac:dyDescent="0.3">
      <c r="B26" s="14" t="str">
        <f t="shared" si="0"/>
        <v/>
      </c>
      <c r="G26" s="7" t="str">
        <f>IF(F26&lt;&gt;"",VLOOKUP(F26,'Cripto Ativo Simbolo'!A:B,2,FALSE),"")</f>
        <v/>
      </c>
      <c r="J26" s="7" t="str">
        <f>IF(I26&lt;&gt;"",VLOOKUP(I26,'Tipo NI'!A:B,2,FALSE),"")</f>
        <v/>
      </c>
      <c r="L26" s="7" t="str">
        <f>IF(K26&lt;&gt;"",VLOOKUP(K26,País!A:B,2,FALSE),"")</f>
        <v/>
      </c>
      <c r="R26" s="7" t="str">
        <f>IF(Q26&lt;&gt;"",VLOOKUP(Q26,'Tipo NI'!A:B,2,FALSE),"")</f>
        <v/>
      </c>
      <c r="T26" s="7" t="str">
        <f>IF(S26&lt;&gt;"",VLOOKUP(S26,País!A:B,2,FALSE),"")</f>
        <v/>
      </c>
    </row>
    <row r="27" spans="2:20" x14ac:dyDescent="0.3">
      <c r="B27" s="14" t="str">
        <f t="shared" si="0"/>
        <v/>
      </c>
      <c r="G27" s="7" t="str">
        <f>IF(F27&lt;&gt;"",VLOOKUP(F27,'Cripto Ativo Simbolo'!A:B,2,FALSE),"")</f>
        <v/>
      </c>
      <c r="J27" s="7" t="str">
        <f>IF(I27&lt;&gt;"",VLOOKUP(I27,'Tipo NI'!A:B,2,FALSE),"")</f>
        <v/>
      </c>
      <c r="L27" s="7" t="str">
        <f>IF(K27&lt;&gt;"",VLOOKUP(K27,País!A:B,2,FALSE),"")</f>
        <v/>
      </c>
      <c r="R27" s="7" t="str">
        <f>IF(Q27&lt;&gt;"",VLOOKUP(Q27,'Tipo NI'!A:B,2,FALSE),"")</f>
        <v/>
      </c>
      <c r="T27" s="7" t="str">
        <f>IF(S27&lt;&gt;"",VLOOKUP(S27,País!A:B,2,FALSE),"")</f>
        <v/>
      </c>
    </row>
    <row r="28" spans="2:20" x14ac:dyDescent="0.3">
      <c r="B28" s="14" t="str">
        <f t="shared" si="0"/>
        <v/>
      </c>
      <c r="G28" s="7" t="str">
        <f>IF(F28&lt;&gt;"",VLOOKUP(F28,'Cripto Ativo Simbolo'!A:B,2,FALSE),"")</f>
        <v/>
      </c>
      <c r="J28" s="7" t="str">
        <f>IF(I28&lt;&gt;"",VLOOKUP(I28,'Tipo NI'!A:B,2,FALSE),"")</f>
        <v/>
      </c>
      <c r="L28" s="7" t="str">
        <f>IF(K28&lt;&gt;"",VLOOKUP(K28,País!A:B,2,FALSE),"")</f>
        <v/>
      </c>
      <c r="R28" s="7" t="str">
        <f>IF(Q28&lt;&gt;"",VLOOKUP(Q28,'Tipo NI'!A:B,2,FALSE),"")</f>
        <v/>
      </c>
      <c r="T28" s="7" t="str">
        <f>IF(S28&lt;&gt;"",VLOOKUP(S28,País!A:B,2,FALSE),"")</f>
        <v/>
      </c>
    </row>
    <row r="29" spans="2:20" x14ac:dyDescent="0.3">
      <c r="B29" s="14" t="str">
        <f t="shared" si="0"/>
        <v/>
      </c>
      <c r="G29" s="7" t="str">
        <f>IF(F29&lt;&gt;"",VLOOKUP(F29,'Cripto Ativo Simbolo'!A:B,2,FALSE),"")</f>
        <v/>
      </c>
      <c r="J29" s="7" t="str">
        <f>IF(I29&lt;&gt;"",VLOOKUP(I29,'Tipo NI'!A:B,2,FALSE),"")</f>
        <v/>
      </c>
      <c r="L29" s="7" t="str">
        <f>IF(K29&lt;&gt;"",VLOOKUP(K29,País!A:B,2,FALSE),"")</f>
        <v/>
      </c>
      <c r="R29" s="7" t="str">
        <f>IF(Q29&lt;&gt;"",VLOOKUP(Q29,'Tipo NI'!A:B,2,FALSE),"")</f>
        <v/>
      </c>
      <c r="T29" s="7" t="str">
        <f>IF(S29&lt;&gt;"",VLOOKUP(S29,País!A:B,2,FALSE),"")</f>
        <v/>
      </c>
    </row>
    <row r="30" spans="2:20" x14ac:dyDescent="0.3">
      <c r="B30" s="14" t="str">
        <f t="shared" si="0"/>
        <v/>
      </c>
      <c r="G30" s="7" t="str">
        <f>IF(F30&lt;&gt;"",VLOOKUP(F30,'Cripto Ativo Simbolo'!A:B,2,FALSE),"")</f>
        <v/>
      </c>
      <c r="J30" s="7" t="str">
        <f>IF(I30&lt;&gt;"",VLOOKUP(I30,'Tipo NI'!A:B,2,FALSE),"")</f>
        <v/>
      </c>
      <c r="L30" s="7" t="str">
        <f>IF(K30&lt;&gt;"",VLOOKUP(K30,País!A:B,2,FALSE),"")</f>
        <v/>
      </c>
      <c r="R30" s="7" t="str">
        <f>IF(Q30&lt;&gt;"",VLOOKUP(Q30,'Tipo NI'!A:B,2,FALSE),"")</f>
        <v/>
      </c>
      <c r="T30" s="7" t="str">
        <f>IF(S30&lt;&gt;"",VLOOKUP(S30,País!A:B,2,FALSE),"")</f>
        <v/>
      </c>
    </row>
    <row r="31" spans="2:20" x14ac:dyDescent="0.3">
      <c r="B31" s="14" t="str">
        <f t="shared" si="0"/>
        <v/>
      </c>
      <c r="G31" s="7" t="str">
        <f>IF(F31&lt;&gt;"",VLOOKUP(F31,'Cripto Ativo Simbolo'!A:B,2,FALSE),"")</f>
        <v/>
      </c>
      <c r="J31" s="7" t="str">
        <f>IF(I31&lt;&gt;"",VLOOKUP(I31,'Tipo NI'!A:B,2,FALSE),"")</f>
        <v/>
      </c>
      <c r="L31" s="7" t="str">
        <f>IF(K31&lt;&gt;"",VLOOKUP(K31,País!A:B,2,FALSE),"")</f>
        <v/>
      </c>
      <c r="R31" s="7" t="str">
        <f>IF(Q31&lt;&gt;"",VLOOKUP(Q31,'Tipo NI'!A:B,2,FALSE),"")</f>
        <v/>
      </c>
      <c r="T31" s="7" t="str">
        <f>IF(S31&lt;&gt;"",VLOOKUP(S31,País!A:B,2,FALSE),"")</f>
        <v/>
      </c>
    </row>
    <row r="32" spans="2:20" x14ac:dyDescent="0.3">
      <c r="B32" s="14" t="str">
        <f t="shared" si="0"/>
        <v/>
      </c>
      <c r="G32" s="7" t="str">
        <f>IF(F32&lt;&gt;"",VLOOKUP(F32,'Cripto Ativo Simbolo'!A:B,2,FALSE),"")</f>
        <v/>
      </c>
      <c r="J32" s="7" t="str">
        <f>IF(I32&lt;&gt;"",VLOOKUP(I32,'Tipo NI'!A:B,2,FALSE),"")</f>
        <v/>
      </c>
      <c r="L32" s="7" t="str">
        <f>IF(K32&lt;&gt;"",VLOOKUP(K32,País!A:B,2,FALSE),"")</f>
        <v/>
      </c>
      <c r="R32" s="7" t="str">
        <f>IF(Q32&lt;&gt;"",VLOOKUP(Q32,'Tipo NI'!A:B,2,FALSE),"")</f>
        <v/>
      </c>
      <c r="T32" s="7" t="str">
        <f>IF(S32&lt;&gt;"",VLOOKUP(S32,País!A:B,2,FALSE),"")</f>
        <v/>
      </c>
    </row>
    <row r="33" spans="2:20" x14ac:dyDescent="0.3">
      <c r="B33" s="14" t="str">
        <f t="shared" si="0"/>
        <v/>
      </c>
      <c r="G33" s="7" t="str">
        <f>IF(F33&lt;&gt;"",VLOOKUP(F33,'Cripto Ativo Simbolo'!A:B,2,FALSE),"")</f>
        <v/>
      </c>
      <c r="J33" s="7" t="str">
        <f>IF(I33&lt;&gt;"",VLOOKUP(I33,'Tipo NI'!A:B,2,FALSE),"")</f>
        <v/>
      </c>
      <c r="L33" s="7" t="str">
        <f>IF(K33&lt;&gt;"",VLOOKUP(K33,País!A:B,2,FALSE),"")</f>
        <v/>
      </c>
      <c r="R33" s="7" t="str">
        <f>IF(Q33&lt;&gt;"",VLOOKUP(Q33,'Tipo NI'!A:B,2,FALSE),"")</f>
        <v/>
      </c>
      <c r="T33" s="7" t="str">
        <f>IF(S33&lt;&gt;"",VLOOKUP(S33,País!A:B,2,FALSE),"")</f>
        <v/>
      </c>
    </row>
    <row r="34" spans="2:20" x14ac:dyDescent="0.3">
      <c r="B34" s="14" t="str">
        <f t="shared" si="0"/>
        <v/>
      </c>
      <c r="G34" s="7" t="str">
        <f>IF(F34&lt;&gt;"",VLOOKUP(F34,'Cripto Ativo Simbolo'!A:B,2,FALSE),"")</f>
        <v/>
      </c>
      <c r="J34" s="7" t="str">
        <f>IF(I34&lt;&gt;"",VLOOKUP(I34,'Tipo NI'!A:B,2,FALSE),"")</f>
        <v/>
      </c>
      <c r="L34" s="7" t="str">
        <f>IF(K34&lt;&gt;"",VLOOKUP(K34,País!A:B,2,FALSE),"")</f>
        <v/>
      </c>
      <c r="R34" s="7" t="str">
        <f>IF(Q34&lt;&gt;"",VLOOKUP(Q34,'Tipo NI'!A:B,2,FALSE),"")</f>
        <v/>
      </c>
      <c r="T34" s="7" t="str">
        <f>IF(S34&lt;&gt;"",VLOOKUP(S34,País!A:B,2,FALSE),"")</f>
        <v/>
      </c>
    </row>
    <row r="35" spans="2:20" x14ac:dyDescent="0.3">
      <c r="B35" s="14" t="str">
        <f t="shared" si="0"/>
        <v/>
      </c>
      <c r="G35" s="7" t="str">
        <f>IF(F35&lt;&gt;"",VLOOKUP(F35,'Cripto Ativo Simbolo'!A:B,2,FALSE),"")</f>
        <v/>
      </c>
      <c r="J35" s="7" t="str">
        <f>IF(I35&lt;&gt;"",VLOOKUP(I35,'Tipo NI'!A:B,2,FALSE),"")</f>
        <v/>
      </c>
      <c r="L35" s="7" t="str">
        <f>IF(K35&lt;&gt;"",VLOOKUP(K35,País!A:B,2,FALSE),"")</f>
        <v/>
      </c>
      <c r="R35" s="7" t="str">
        <f>IF(Q35&lt;&gt;"",VLOOKUP(Q35,'Tipo NI'!A:B,2,FALSE),"")</f>
        <v/>
      </c>
      <c r="T35" s="7" t="str">
        <f>IF(S35&lt;&gt;"",VLOOKUP(S35,País!A:B,2,FALSE),"")</f>
        <v/>
      </c>
    </row>
    <row r="36" spans="2:20" x14ac:dyDescent="0.3">
      <c r="B36" s="14" t="str">
        <f t="shared" si="0"/>
        <v/>
      </c>
      <c r="G36" s="7" t="str">
        <f>IF(F36&lt;&gt;"",VLOOKUP(F36,'Cripto Ativo Simbolo'!A:B,2,FALSE),"")</f>
        <v/>
      </c>
      <c r="J36" s="7" t="str">
        <f>IF(I36&lt;&gt;"",VLOOKUP(I36,'Tipo NI'!A:B,2,FALSE),"")</f>
        <v/>
      </c>
      <c r="L36" s="7" t="str">
        <f>IF(K36&lt;&gt;"",VLOOKUP(K36,País!A:B,2,FALSE),"")</f>
        <v/>
      </c>
      <c r="R36" s="7" t="str">
        <f>IF(Q36&lt;&gt;"",VLOOKUP(Q36,'Tipo NI'!A:B,2,FALSE),"")</f>
        <v/>
      </c>
      <c r="T36" s="7" t="str">
        <f>IF(S36&lt;&gt;"",VLOOKUP(S36,País!A:B,2,FALSE),"")</f>
        <v/>
      </c>
    </row>
    <row r="37" spans="2:20" x14ac:dyDescent="0.3">
      <c r="B37" s="14" t="str">
        <f t="shared" si="0"/>
        <v/>
      </c>
      <c r="G37" s="7" t="str">
        <f>IF(F37&lt;&gt;"",VLOOKUP(F37,'Cripto Ativo Simbolo'!A:B,2,FALSE),"")</f>
        <v/>
      </c>
      <c r="J37" s="7" t="str">
        <f>IF(I37&lt;&gt;"",VLOOKUP(I37,'Tipo NI'!A:B,2,FALSE),"")</f>
        <v/>
      </c>
      <c r="L37" s="7" t="str">
        <f>IF(K37&lt;&gt;"",VLOOKUP(K37,País!A:B,2,FALSE),"")</f>
        <v/>
      </c>
      <c r="R37" s="7" t="str">
        <f>IF(Q37&lt;&gt;"",VLOOKUP(Q37,'Tipo NI'!A:B,2,FALSE),"")</f>
        <v/>
      </c>
      <c r="T37" s="7" t="str">
        <f>IF(S37&lt;&gt;"",VLOOKUP(S37,País!A:B,2,FALSE),"")</f>
        <v/>
      </c>
    </row>
    <row r="38" spans="2:20" x14ac:dyDescent="0.3">
      <c r="B38" s="14" t="str">
        <f t="shared" si="0"/>
        <v/>
      </c>
      <c r="G38" s="7" t="str">
        <f>IF(F38&lt;&gt;"",VLOOKUP(F38,'Cripto Ativo Simbolo'!A:B,2,FALSE),"")</f>
        <v/>
      </c>
      <c r="J38" s="7" t="str">
        <f>IF(I38&lt;&gt;"",VLOOKUP(I38,'Tipo NI'!A:B,2,FALSE),"")</f>
        <v/>
      </c>
      <c r="L38" s="7" t="str">
        <f>IF(K38&lt;&gt;"",VLOOKUP(K38,País!A:B,2,FALSE),"")</f>
        <v/>
      </c>
      <c r="R38" s="7" t="str">
        <f>IF(Q38&lt;&gt;"",VLOOKUP(Q38,'Tipo NI'!A:B,2,FALSE),"")</f>
        <v/>
      </c>
      <c r="T38" s="7" t="str">
        <f>IF(S38&lt;&gt;"",VLOOKUP(S38,País!A:B,2,FALSE),"")</f>
        <v/>
      </c>
    </row>
    <row r="39" spans="2:20" x14ac:dyDescent="0.3">
      <c r="B39" s="14" t="str">
        <f t="shared" si="0"/>
        <v/>
      </c>
      <c r="G39" s="7" t="str">
        <f>IF(F39&lt;&gt;"",VLOOKUP(F39,'Cripto Ativo Simbolo'!A:B,2,FALSE),"")</f>
        <v/>
      </c>
      <c r="J39" s="7" t="str">
        <f>IF(I39&lt;&gt;"",VLOOKUP(I39,'Tipo NI'!A:B,2,FALSE),"")</f>
        <v/>
      </c>
      <c r="L39" s="7" t="str">
        <f>IF(K39&lt;&gt;"",VLOOKUP(K39,País!A:B,2,FALSE),"")</f>
        <v/>
      </c>
      <c r="R39" s="7" t="str">
        <f>IF(Q39&lt;&gt;"",VLOOKUP(Q39,'Tipo NI'!A:B,2,FALSE),"")</f>
        <v/>
      </c>
      <c r="T39" s="7" t="str">
        <f>IF(S39&lt;&gt;"",VLOOKUP(S39,País!A:B,2,FALSE),"")</f>
        <v/>
      </c>
    </row>
    <row r="40" spans="2:20" x14ac:dyDescent="0.3">
      <c r="B40" s="14" t="str">
        <f t="shared" si="0"/>
        <v/>
      </c>
      <c r="G40" s="7" t="str">
        <f>IF(F40&lt;&gt;"",VLOOKUP(F40,'Cripto Ativo Simbolo'!A:B,2,FALSE),"")</f>
        <v/>
      </c>
      <c r="J40" s="7" t="str">
        <f>IF(I40&lt;&gt;"",VLOOKUP(I40,'Tipo NI'!A:B,2,FALSE),"")</f>
        <v/>
      </c>
      <c r="L40" s="7" t="str">
        <f>IF(K40&lt;&gt;"",VLOOKUP(K40,País!A:B,2,FALSE),"")</f>
        <v/>
      </c>
      <c r="R40" s="7" t="str">
        <f>IF(Q40&lt;&gt;"",VLOOKUP(Q40,'Tipo NI'!A:B,2,FALSE),"")</f>
        <v/>
      </c>
      <c r="T40" s="7" t="str">
        <f>IF(S40&lt;&gt;"",VLOOKUP(S40,País!A:B,2,FALSE),"")</f>
        <v/>
      </c>
    </row>
    <row r="41" spans="2:20" x14ac:dyDescent="0.3">
      <c r="B41" s="14" t="str">
        <f t="shared" si="0"/>
        <v/>
      </c>
      <c r="G41" s="7" t="str">
        <f>IF(F41&lt;&gt;"",VLOOKUP(F41,'Cripto Ativo Simbolo'!A:B,2,FALSE),"")</f>
        <v/>
      </c>
      <c r="J41" s="7" t="str">
        <f>IF(I41&lt;&gt;"",VLOOKUP(I41,'Tipo NI'!A:B,2,FALSE),"")</f>
        <v/>
      </c>
      <c r="L41" s="7" t="str">
        <f>IF(K41&lt;&gt;"",VLOOKUP(K41,País!A:B,2,FALSE),"")</f>
        <v/>
      </c>
      <c r="R41" s="7" t="str">
        <f>IF(Q41&lt;&gt;"",VLOOKUP(Q41,'Tipo NI'!A:B,2,FALSE),"")</f>
        <v/>
      </c>
      <c r="T41" s="7" t="str">
        <f>IF(S41&lt;&gt;"",VLOOKUP(S41,País!A:B,2,FALSE),"")</f>
        <v/>
      </c>
    </row>
    <row r="42" spans="2:20" x14ac:dyDescent="0.3">
      <c r="B42" s="14" t="str">
        <f t="shared" si="0"/>
        <v/>
      </c>
      <c r="G42" s="7" t="str">
        <f>IF(F42&lt;&gt;"",VLOOKUP(F42,'Cripto Ativo Simbolo'!A:B,2,FALSE),"")</f>
        <v/>
      </c>
      <c r="J42" s="7" t="str">
        <f>IF(I42&lt;&gt;"",VLOOKUP(I42,'Tipo NI'!A:B,2,FALSE),"")</f>
        <v/>
      </c>
      <c r="L42" s="7" t="str">
        <f>IF(K42&lt;&gt;"",VLOOKUP(K42,País!A:B,2,FALSE),"")</f>
        <v/>
      </c>
      <c r="R42" s="7" t="str">
        <f>IF(Q42&lt;&gt;"",VLOOKUP(Q42,'Tipo NI'!A:B,2,FALSE),"")</f>
        <v/>
      </c>
      <c r="T42" s="7" t="str">
        <f>IF(S42&lt;&gt;"",VLOOKUP(S42,País!A:B,2,FALSE),"")</f>
        <v/>
      </c>
    </row>
    <row r="43" spans="2:20" x14ac:dyDescent="0.3">
      <c r="B43" s="14" t="str">
        <f t="shared" si="0"/>
        <v/>
      </c>
      <c r="G43" s="7" t="str">
        <f>IF(F43&lt;&gt;"",VLOOKUP(F43,'Cripto Ativo Simbolo'!A:B,2,FALSE),"")</f>
        <v/>
      </c>
      <c r="J43" s="7" t="str">
        <f>IF(I43&lt;&gt;"",VLOOKUP(I43,'Tipo NI'!A:B,2,FALSE),"")</f>
        <v/>
      </c>
      <c r="L43" s="7" t="str">
        <f>IF(K43&lt;&gt;"",VLOOKUP(K43,País!A:B,2,FALSE),"")</f>
        <v/>
      </c>
      <c r="R43" s="7" t="str">
        <f>IF(Q43&lt;&gt;"",VLOOKUP(Q43,'Tipo NI'!A:B,2,FALSE),"")</f>
        <v/>
      </c>
      <c r="T43" s="7" t="str">
        <f>IF(S43&lt;&gt;"",VLOOKUP(S43,País!A:B,2,FALSE),"")</f>
        <v/>
      </c>
    </row>
    <row r="44" spans="2:20" x14ac:dyDescent="0.3">
      <c r="B44" s="14" t="str">
        <f t="shared" si="0"/>
        <v/>
      </c>
      <c r="G44" s="7" t="str">
        <f>IF(F44&lt;&gt;"",VLOOKUP(F44,'Cripto Ativo Simbolo'!A:B,2,FALSE),"")</f>
        <v/>
      </c>
      <c r="J44" s="7" t="str">
        <f>IF(I44&lt;&gt;"",VLOOKUP(I44,'Tipo NI'!A:B,2,FALSE),"")</f>
        <v/>
      </c>
      <c r="L44" s="7" t="str">
        <f>IF(K44&lt;&gt;"",VLOOKUP(K44,País!A:B,2,FALSE),"")</f>
        <v/>
      </c>
      <c r="R44" s="7" t="str">
        <f>IF(Q44&lt;&gt;"",VLOOKUP(Q44,'Tipo NI'!A:B,2,FALSE),"")</f>
        <v/>
      </c>
      <c r="T44" s="7" t="str">
        <f>IF(S44&lt;&gt;"",VLOOKUP(S44,País!A:B,2,FALSE),"")</f>
        <v/>
      </c>
    </row>
    <row r="45" spans="2:20" x14ac:dyDescent="0.3">
      <c r="B45" s="14" t="str">
        <f t="shared" si="0"/>
        <v/>
      </c>
      <c r="G45" s="7" t="str">
        <f>IF(F45&lt;&gt;"",VLOOKUP(F45,'Cripto Ativo Simbolo'!A:B,2,FALSE),"")</f>
        <v/>
      </c>
      <c r="J45" s="7" t="str">
        <f>IF(I45&lt;&gt;"",VLOOKUP(I45,'Tipo NI'!A:B,2,FALSE),"")</f>
        <v/>
      </c>
      <c r="L45" s="7" t="str">
        <f>IF(K45&lt;&gt;"",VLOOKUP(K45,País!A:B,2,FALSE),"")</f>
        <v/>
      </c>
      <c r="R45" s="7" t="str">
        <f>IF(Q45&lt;&gt;"",VLOOKUP(Q45,'Tipo NI'!A:B,2,FALSE),"")</f>
        <v/>
      </c>
      <c r="T45" s="7" t="str">
        <f>IF(S45&lt;&gt;"",VLOOKUP(S45,País!A:B,2,FALSE),"")</f>
        <v/>
      </c>
    </row>
    <row r="46" spans="2:20" x14ac:dyDescent="0.3">
      <c r="B46" s="14" t="str">
        <f t="shared" si="0"/>
        <v/>
      </c>
      <c r="G46" s="7" t="str">
        <f>IF(F46&lt;&gt;"",VLOOKUP(F46,'Cripto Ativo Simbolo'!A:B,2,FALSE),"")</f>
        <v/>
      </c>
      <c r="J46" s="7" t="str">
        <f>IF(I46&lt;&gt;"",VLOOKUP(I46,'Tipo NI'!A:B,2,FALSE),"")</f>
        <v/>
      </c>
      <c r="L46" s="7" t="str">
        <f>IF(K46&lt;&gt;"",VLOOKUP(K46,País!A:B,2,FALSE),"")</f>
        <v/>
      </c>
      <c r="R46" s="7" t="str">
        <f>IF(Q46&lt;&gt;"",VLOOKUP(Q46,'Tipo NI'!A:B,2,FALSE),"")</f>
        <v/>
      </c>
      <c r="T46" s="7" t="str">
        <f>IF(S46&lt;&gt;"",VLOOKUP(S46,País!A:B,2,FALSE),"")</f>
        <v/>
      </c>
    </row>
    <row r="47" spans="2:20" x14ac:dyDescent="0.3">
      <c r="B47" s="14" t="str">
        <f t="shared" si="0"/>
        <v/>
      </c>
      <c r="G47" s="7" t="str">
        <f>IF(F47&lt;&gt;"",VLOOKUP(F47,'Cripto Ativo Simbolo'!A:B,2,FALSE),"")</f>
        <v/>
      </c>
      <c r="J47" s="7" t="str">
        <f>IF(I47&lt;&gt;"",VLOOKUP(I47,'Tipo NI'!A:B,2,FALSE),"")</f>
        <v/>
      </c>
      <c r="L47" s="7" t="str">
        <f>IF(K47&lt;&gt;"",VLOOKUP(K47,País!A:B,2,FALSE),"")</f>
        <v/>
      </c>
      <c r="R47" s="7" t="str">
        <f>IF(Q47&lt;&gt;"",VLOOKUP(Q47,'Tipo NI'!A:B,2,FALSE),"")</f>
        <v/>
      </c>
      <c r="T47" s="7" t="str">
        <f>IF(S47&lt;&gt;"",VLOOKUP(S47,País!A:B,2,FALSE),"")</f>
        <v/>
      </c>
    </row>
    <row r="48" spans="2:20" x14ac:dyDescent="0.3">
      <c r="B48" s="14" t="str">
        <f t="shared" si="0"/>
        <v/>
      </c>
      <c r="G48" s="7" t="str">
        <f>IF(F48&lt;&gt;"",VLOOKUP(F48,'Cripto Ativo Simbolo'!A:B,2,FALSE),"")</f>
        <v/>
      </c>
      <c r="J48" s="7" t="str">
        <f>IF(I48&lt;&gt;"",VLOOKUP(I48,'Tipo NI'!A:B,2,FALSE),"")</f>
        <v/>
      </c>
      <c r="L48" s="7" t="str">
        <f>IF(K48&lt;&gt;"",VLOOKUP(K48,País!A:B,2,FALSE),"")</f>
        <v/>
      </c>
      <c r="R48" s="7" t="str">
        <f>IF(Q48&lt;&gt;"",VLOOKUP(Q48,'Tipo NI'!A:B,2,FALSE),"")</f>
        <v/>
      </c>
      <c r="T48" s="7" t="str">
        <f>IF(S48&lt;&gt;"",VLOOKUP(S48,País!A:B,2,FALSE),"")</f>
        <v/>
      </c>
    </row>
    <row r="49" spans="2:20" x14ac:dyDescent="0.3">
      <c r="B49" s="14" t="str">
        <f t="shared" si="0"/>
        <v/>
      </c>
      <c r="G49" s="7" t="str">
        <f>IF(F49&lt;&gt;"",VLOOKUP(F49,'Cripto Ativo Simbolo'!A:B,2,FALSE),"")</f>
        <v/>
      </c>
      <c r="J49" s="7" t="str">
        <f>IF(I49&lt;&gt;"",VLOOKUP(I49,'Tipo NI'!A:B,2,FALSE),"")</f>
        <v/>
      </c>
      <c r="L49" s="7" t="str">
        <f>IF(K49&lt;&gt;"",VLOOKUP(K49,País!A:B,2,FALSE),"")</f>
        <v/>
      </c>
      <c r="R49" s="7" t="str">
        <f>IF(Q49&lt;&gt;"",VLOOKUP(Q49,'Tipo NI'!A:B,2,FALSE),"")</f>
        <v/>
      </c>
      <c r="T49" s="7" t="str">
        <f>IF(S49&lt;&gt;"",VLOOKUP(S49,País!A:B,2,FALSE),"")</f>
        <v/>
      </c>
    </row>
    <row r="50" spans="2:20" x14ac:dyDescent="0.3">
      <c r="B50" s="14" t="str">
        <f t="shared" si="0"/>
        <v/>
      </c>
      <c r="G50" s="7" t="str">
        <f>IF(F50&lt;&gt;"",VLOOKUP(F50,'Cripto Ativo Simbolo'!A:B,2,FALSE),"")</f>
        <v/>
      </c>
      <c r="J50" s="7" t="str">
        <f>IF(I50&lt;&gt;"",VLOOKUP(I50,'Tipo NI'!A:B,2,FALSE),"")</f>
        <v/>
      </c>
      <c r="L50" s="7" t="str">
        <f>IF(K50&lt;&gt;"",VLOOKUP(K50,País!A:B,2,FALSE),"")</f>
        <v/>
      </c>
      <c r="R50" s="7" t="str">
        <f>IF(Q50&lt;&gt;"",VLOOKUP(Q50,'Tipo NI'!A:B,2,FALSE),"")</f>
        <v/>
      </c>
      <c r="T50" s="7" t="str">
        <f>IF(S50&lt;&gt;"",VLOOKUP(S50,País!A:B,2,FALSE),"")</f>
        <v/>
      </c>
    </row>
    <row r="51" spans="2:20" x14ac:dyDescent="0.3">
      <c r="B51" s="14" t="str">
        <f t="shared" si="0"/>
        <v/>
      </c>
      <c r="G51" s="7" t="str">
        <f>IF(F51&lt;&gt;"",VLOOKUP(F51,'Cripto Ativo Simbolo'!A:B,2,FALSE),"")</f>
        <v/>
      </c>
      <c r="J51" s="7" t="str">
        <f>IF(I51&lt;&gt;"",VLOOKUP(I51,'Tipo NI'!A:B,2,FALSE),"")</f>
        <v/>
      </c>
      <c r="L51" s="7" t="str">
        <f>IF(K51&lt;&gt;"",VLOOKUP(K51,País!A:B,2,FALSE),"")</f>
        <v/>
      </c>
      <c r="R51" s="7" t="str">
        <f>IF(Q51&lt;&gt;"",VLOOKUP(Q51,'Tipo NI'!A:B,2,FALSE),"")</f>
        <v/>
      </c>
      <c r="T51" s="7" t="str">
        <f>IF(S51&lt;&gt;"",VLOOKUP(S51,País!A:B,2,FALSE),"")</f>
        <v/>
      </c>
    </row>
    <row r="52" spans="2:20" x14ac:dyDescent="0.3">
      <c r="B52" s="14" t="str">
        <f t="shared" si="0"/>
        <v/>
      </c>
      <c r="G52" s="7" t="str">
        <f>IF(F52&lt;&gt;"",VLOOKUP(F52,'Cripto Ativo Simbolo'!A:B,2,FALSE),"")</f>
        <v/>
      </c>
      <c r="J52" s="7" t="str">
        <f>IF(I52&lt;&gt;"",VLOOKUP(I52,'Tipo NI'!A:B,2,FALSE),"")</f>
        <v/>
      </c>
      <c r="L52" s="7" t="str">
        <f>IF(K52&lt;&gt;"",VLOOKUP(K52,País!A:B,2,FALSE),"")</f>
        <v/>
      </c>
      <c r="R52" s="7" t="str">
        <f>IF(Q52&lt;&gt;"",VLOOKUP(Q52,'Tipo NI'!A:B,2,FALSE),"")</f>
        <v/>
      </c>
      <c r="T52" s="7" t="str">
        <f>IF(S52&lt;&gt;"",VLOOKUP(S52,País!A:B,2,FALSE),"")</f>
        <v/>
      </c>
    </row>
    <row r="53" spans="2:20" x14ac:dyDescent="0.3">
      <c r="B53" s="14" t="str">
        <f t="shared" si="0"/>
        <v/>
      </c>
      <c r="G53" s="7" t="str">
        <f>IF(F53&lt;&gt;"",VLOOKUP(F53,'Cripto Ativo Simbolo'!A:B,2,FALSE),"")</f>
        <v/>
      </c>
      <c r="J53" s="7" t="str">
        <f>IF(I53&lt;&gt;"",VLOOKUP(I53,'Tipo NI'!A:B,2,FALSE),"")</f>
        <v/>
      </c>
      <c r="L53" s="7" t="str">
        <f>IF(K53&lt;&gt;"",VLOOKUP(K53,País!A:B,2,FALSE),"")</f>
        <v/>
      </c>
      <c r="R53" s="7" t="str">
        <f>IF(Q53&lt;&gt;"",VLOOKUP(Q53,'Tipo NI'!A:B,2,FALSE),"")</f>
        <v/>
      </c>
      <c r="T53" s="7" t="str">
        <f>IF(S53&lt;&gt;"",VLOOKUP(S53,País!A:B,2,FALSE),"")</f>
        <v/>
      </c>
    </row>
    <row r="54" spans="2:20" x14ac:dyDescent="0.3">
      <c r="B54" s="14" t="str">
        <f t="shared" si="0"/>
        <v/>
      </c>
      <c r="G54" s="7" t="str">
        <f>IF(F54&lt;&gt;"",VLOOKUP(F54,'Cripto Ativo Simbolo'!A:B,2,FALSE),"")</f>
        <v/>
      </c>
      <c r="J54" s="7" t="str">
        <f>IF(I54&lt;&gt;"",VLOOKUP(I54,'Tipo NI'!A:B,2,FALSE),"")</f>
        <v/>
      </c>
      <c r="L54" s="7" t="str">
        <f>IF(K54&lt;&gt;"",VLOOKUP(K54,País!A:B,2,FALSE),"")</f>
        <v/>
      </c>
      <c r="R54" s="7" t="str">
        <f>IF(Q54&lt;&gt;"",VLOOKUP(Q54,'Tipo NI'!A:B,2,FALSE),"")</f>
        <v/>
      </c>
      <c r="T54" s="7" t="str">
        <f>IF(S54&lt;&gt;"",VLOOKUP(S54,País!A:B,2,FALSE),"")</f>
        <v/>
      </c>
    </row>
    <row r="55" spans="2:20" x14ac:dyDescent="0.3">
      <c r="B55" s="14" t="str">
        <f t="shared" si="0"/>
        <v/>
      </c>
      <c r="G55" s="7" t="str">
        <f>IF(F55&lt;&gt;"",VLOOKUP(F55,'Cripto Ativo Simbolo'!A:B,2,FALSE),"")</f>
        <v/>
      </c>
      <c r="J55" s="7" t="str">
        <f>IF(I55&lt;&gt;"",VLOOKUP(I55,'Tipo NI'!A:B,2,FALSE),"")</f>
        <v/>
      </c>
      <c r="L55" s="7" t="str">
        <f>IF(K55&lt;&gt;"",VLOOKUP(K55,País!A:B,2,FALSE),"")</f>
        <v/>
      </c>
      <c r="R55" s="7" t="str">
        <f>IF(Q55&lt;&gt;"",VLOOKUP(Q55,'Tipo NI'!A:B,2,FALSE),"")</f>
        <v/>
      </c>
      <c r="T55" s="7" t="str">
        <f>IF(S55&lt;&gt;"",VLOOKUP(S55,País!A:B,2,FALSE),"")</f>
        <v/>
      </c>
    </row>
    <row r="56" spans="2:20" x14ac:dyDescent="0.3">
      <c r="B56" s="14" t="str">
        <f t="shared" si="0"/>
        <v/>
      </c>
      <c r="G56" s="7" t="str">
        <f>IF(F56&lt;&gt;"",VLOOKUP(F56,'Cripto Ativo Simbolo'!A:B,2,FALSE),"")</f>
        <v/>
      </c>
      <c r="J56" s="7" t="str">
        <f>IF(I56&lt;&gt;"",VLOOKUP(I56,'Tipo NI'!A:B,2,FALSE),"")</f>
        <v/>
      </c>
      <c r="L56" s="7" t="str">
        <f>IF(K56&lt;&gt;"",VLOOKUP(K56,País!A:B,2,FALSE),"")</f>
        <v/>
      </c>
      <c r="R56" s="7" t="str">
        <f>IF(Q56&lt;&gt;"",VLOOKUP(Q56,'Tipo NI'!A:B,2,FALSE),"")</f>
        <v/>
      </c>
      <c r="T56" s="7" t="str">
        <f>IF(S56&lt;&gt;"",VLOOKUP(S56,País!A:B,2,FALSE),"")</f>
        <v/>
      </c>
    </row>
    <row r="57" spans="2:20" x14ac:dyDescent="0.3">
      <c r="B57" s="14" t="str">
        <f t="shared" si="0"/>
        <v/>
      </c>
      <c r="G57" s="7" t="str">
        <f>IF(F57&lt;&gt;"",VLOOKUP(F57,'Cripto Ativo Simbolo'!A:B,2,FALSE),"")</f>
        <v/>
      </c>
      <c r="J57" s="7" t="str">
        <f>IF(I57&lt;&gt;"",VLOOKUP(I57,'Tipo NI'!A:B,2,FALSE),"")</f>
        <v/>
      </c>
      <c r="L57" s="7" t="str">
        <f>IF(K57&lt;&gt;"",VLOOKUP(K57,País!A:B,2,FALSE),"")</f>
        <v/>
      </c>
      <c r="R57" s="7" t="str">
        <f>IF(Q57&lt;&gt;"",VLOOKUP(Q57,'Tipo NI'!A:B,2,FALSE),"")</f>
        <v/>
      </c>
      <c r="T57" s="7" t="str">
        <f>IF(S57&lt;&gt;"",VLOOKUP(S57,País!A:B,2,FALSE),"")</f>
        <v/>
      </c>
    </row>
    <row r="58" spans="2:20" x14ac:dyDescent="0.3">
      <c r="B58" s="14" t="str">
        <f t="shared" si="0"/>
        <v/>
      </c>
      <c r="G58" s="7" t="str">
        <f>IF(F58&lt;&gt;"",VLOOKUP(F58,'Cripto Ativo Simbolo'!A:B,2,FALSE),"")</f>
        <v/>
      </c>
      <c r="J58" s="7" t="str">
        <f>IF(I58&lt;&gt;"",VLOOKUP(I58,'Tipo NI'!A:B,2,FALSE),"")</f>
        <v/>
      </c>
      <c r="L58" s="7" t="str">
        <f>IF(K58&lt;&gt;"",VLOOKUP(K58,País!A:B,2,FALSE),"")</f>
        <v/>
      </c>
      <c r="R58" s="7" t="str">
        <f>IF(Q58&lt;&gt;"",VLOOKUP(Q58,'Tipo NI'!A:B,2,FALSE),"")</f>
        <v/>
      </c>
      <c r="T58" s="7" t="str">
        <f>IF(S58&lt;&gt;"",VLOOKUP(S58,País!A:B,2,FALSE),"")</f>
        <v/>
      </c>
    </row>
    <row r="59" spans="2:20" x14ac:dyDescent="0.3">
      <c r="B59" s="14" t="str">
        <f t="shared" si="0"/>
        <v/>
      </c>
      <c r="G59" s="7" t="str">
        <f>IF(F59&lt;&gt;"",VLOOKUP(F59,'Cripto Ativo Simbolo'!A:B,2,FALSE),"")</f>
        <v/>
      </c>
      <c r="J59" s="7" t="str">
        <f>IF(I59&lt;&gt;"",VLOOKUP(I59,'Tipo NI'!A:B,2,FALSE),"")</f>
        <v/>
      </c>
      <c r="L59" s="7" t="str">
        <f>IF(K59&lt;&gt;"",VLOOKUP(K59,País!A:B,2,FALSE),"")</f>
        <v/>
      </c>
      <c r="R59" s="7" t="str">
        <f>IF(Q59&lt;&gt;"",VLOOKUP(Q59,'Tipo NI'!A:B,2,FALSE),"")</f>
        <v/>
      </c>
      <c r="T59" s="7" t="str">
        <f>IF(S59&lt;&gt;"",VLOOKUP(S59,País!A:B,2,FALSE),"")</f>
        <v/>
      </c>
    </row>
    <row r="60" spans="2:20" x14ac:dyDescent="0.3">
      <c r="B60" s="14" t="str">
        <f t="shared" si="0"/>
        <v/>
      </c>
      <c r="G60" s="7" t="str">
        <f>IF(F60&lt;&gt;"",VLOOKUP(F60,'Cripto Ativo Simbolo'!A:B,2,FALSE),"")</f>
        <v/>
      </c>
      <c r="J60" s="7" t="str">
        <f>IF(I60&lt;&gt;"",VLOOKUP(I60,'Tipo NI'!A:B,2,FALSE),"")</f>
        <v/>
      </c>
      <c r="L60" s="7" t="str">
        <f>IF(K60&lt;&gt;"",VLOOKUP(K60,País!A:B,2,FALSE),"")</f>
        <v/>
      </c>
      <c r="R60" s="7" t="str">
        <f>IF(Q60&lt;&gt;"",VLOOKUP(Q60,'Tipo NI'!A:B,2,FALSE),"")</f>
        <v/>
      </c>
      <c r="T60" s="7" t="str">
        <f>IF(S60&lt;&gt;"",VLOOKUP(S60,País!A:B,2,FALSE),"")</f>
        <v/>
      </c>
    </row>
    <row r="61" spans="2:20" x14ac:dyDescent="0.3">
      <c r="B61" s="14" t="str">
        <f t="shared" si="0"/>
        <v/>
      </c>
      <c r="G61" s="7" t="str">
        <f>IF(F61&lt;&gt;"",VLOOKUP(F61,'Cripto Ativo Simbolo'!A:B,2,FALSE),"")</f>
        <v/>
      </c>
      <c r="J61" s="7" t="str">
        <f>IF(I61&lt;&gt;"",VLOOKUP(I61,'Tipo NI'!A:B,2,FALSE),"")</f>
        <v/>
      </c>
      <c r="L61" s="7" t="str">
        <f>IF(K61&lt;&gt;"",VLOOKUP(K61,País!A:B,2,FALSE),"")</f>
        <v/>
      </c>
      <c r="R61" s="7" t="str">
        <f>IF(Q61&lt;&gt;"",VLOOKUP(Q61,'Tipo NI'!A:B,2,FALSE),"")</f>
        <v/>
      </c>
      <c r="T61" s="7" t="str">
        <f>IF(S61&lt;&gt;"",VLOOKUP(S61,País!A:B,2,FALSE),"")</f>
        <v/>
      </c>
    </row>
    <row r="62" spans="2:20" x14ac:dyDescent="0.3">
      <c r="B62" s="14" t="str">
        <f t="shared" si="0"/>
        <v/>
      </c>
      <c r="G62" s="7" t="str">
        <f>IF(F62&lt;&gt;"",VLOOKUP(F62,'Cripto Ativo Simbolo'!A:B,2,FALSE),"")</f>
        <v/>
      </c>
      <c r="J62" s="7" t="str">
        <f>IF(I62&lt;&gt;"",VLOOKUP(I62,'Tipo NI'!A:B,2,FALSE),"")</f>
        <v/>
      </c>
      <c r="L62" s="7" t="str">
        <f>IF(K62&lt;&gt;"",VLOOKUP(K62,País!A:B,2,FALSE),"")</f>
        <v/>
      </c>
      <c r="R62" s="7" t="str">
        <f>IF(Q62&lt;&gt;"",VLOOKUP(Q62,'Tipo NI'!A:B,2,FALSE),"")</f>
        <v/>
      </c>
      <c r="T62" s="7" t="str">
        <f>IF(S62&lt;&gt;"",VLOOKUP(S62,País!A:B,2,FALSE),"")</f>
        <v/>
      </c>
    </row>
    <row r="63" spans="2:20" x14ac:dyDescent="0.3">
      <c r="B63" s="14" t="str">
        <f t="shared" si="0"/>
        <v/>
      </c>
      <c r="G63" s="7" t="str">
        <f>IF(F63&lt;&gt;"",VLOOKUP(F63,'Cripto Ativo Simbolo'!A:B,2,FALSE),"")</f>
        <v/>
      </c>
      <c r="J63" s="7" t="str">
        <f>IF(I63&lt;&gt;"",VLOOKUP(I63,'Tipo NI'!A:B,2,FALSE),"")</f>
        <v/>
      </c>
      <c r="L63" s="7" t="str">
        <f>IF(K63&lt;&gt;"",VLOOKUP(K63,País!A:B,2,FALSE),"")</f>
        <v/>
      </c>
      <c r="R63" s="7" t="str">
        <f>IF(Q63&lt;&gt;"",VLOOKUP(Q63,'Tipo NI'!A:B,2,FALSE),"")</f>
        <v/>
      </c>
      <c r="T63" s="7" t="str">
        <f>IF(S63&lt;&gt;"",VLOOKUP(S63,País!A:B,2,FALSE),"")</f>
        <v/>
      </c>
    </row>
    <row r="64" spans="2:20" x14ac:dyDescent="0.3">
      <c r="B64" s="14" t="str">
        <f t="shared" si="0"/>
        <v/>
      </c>
      <c r="G64" s="7" t="str">
        <f>IF(F64&lt;&gt;"",VLOOKUP(F64,'Cripto Ativo Simbolo'!A:B,2,FALSE),"")</f>
        <v/>
      </c>
      <c r="J64" s="7" t="str">
        <f>IF(I64&lt;&gt;"",VLOOKUP(I64,'Tipo NI'!A:B,2,FALSE),"")</f>
        <v/>
      </c>
      <c r="L64" s="7" t="str">
        <f>IF(K64&lt;&gt;"",VLOOKUP(K64,País!A:B,2,FALSE),"")</f>
        <v/>
      </c>
      <c r="R64" s="7" t="str">
        <f>IF(Q64&lt;&gt;"",VLOOKUP(Q64,'Tipo NI'!A:B,2,FALSE),"")</f>
        <v/>
      </c>
      <c r="T64" s="7" t="str">
        <f>IF(S64&lt;&gt;"",VLOOKUP(S64,País!A:B,2,FALSE),"")</f>
        <v/>
      </c>
    </row>
    <row r="65" spans="2:20" x14ac:dyDescent="0.3">
      <c r="B65" s="14" t="str">
        <f t="shared" si="0"/>
        <v/>
      </c>
      <c r="G65" s="7" t="str">
        <f>IF(F65&lt;&gt;"",VLOOKUP(F65,'Cripto Ativo Simbolo'!A:B,2,FALSE),"")</f>
        <v/>
      </c>
      <c r="J65" s="7" t="str">
        <f>IF(I65&lt;&gt;"",VLOOKUP(I65,'Tipo NI'!A:B,2,FALSE),"")</f>
        <v/>
      </c>
      <c r="L65" s="7" t="str">
        <f>IF(K65&lt;&gt;"",VLOOKUP(K65,País!A:B,2,FALSE),"")</f>
        <v/>
      </c>
      <c r="R65" s="7" t="str">
        <f>IF(Q65&lt;&gt;"",VLOOKUP(Q65,'Tipo NI'!A:B,2,FALSE),"")</f>
        <v/>
      </c>
      <c r="T65" s="7" t="str">
        <f>IF(S65&lt;&gt;"",VLOOKUP(S65,País!A:B,2,FALSE),"")</f>
        <v/>
      </c>
    </row>
    <row r="66" spans="2:20" x14ac:dyDescent="0.3">
      <c r="B66" s="14" t="str">
        <f t="shared" si="0"/>
        <v/>
      </c>
      <c r="G66" s="7" t="str">
        <f>IF(F66&lt;&gt;"",VLOOKUP(F66,'Cripto Ativo Simbolo'!A:B,2,FALSE),"")</f>
        <v/>
      </c>
      <c r="J66" s="7" t="str">
        <f>IF(I66&lt;&gt;"",VLOOKUP(I66,'Tipo NI'!A:B,2,FALSE),"")</f>
        <v/>
      </c>
      <c r="L66" s="7" t="str">
        <f>IF(K66&lt;&gt;"",VLOOKUP(K66,País!A:B,2,FALSE),"")</f>
        <v/>
      </c>
      <c r="R66" s="7" t="str">
        <f>IF(Q66&lt;&gt;"",VLOOKUP(Q66,'Tipo NI'!A:B,2,FALSE),"")</f>
        <v/>
      </c>
      <c r="T66" s="7" t="str">
        <f>IF(S66&lt;&gt;"",VLOOKUP(S66,País!A:B,2,FALSE),"")</f>
        <v/>
      </c>
    </row>
    <row r="67" spans="2:20" x14ac:dyDescent="0.3">
      <c r="B67" s="14" t="str">
        <f t="shared" ref="B67:B100" si="1">IF(A67&lt;&gt;"",MONTH(A67),"")</f>
        <v/>
      </c>
      <c r="G67" s="7" t="str">
        <f>IF(F67&lt;&gt;"",VLOOKUP(F67,'Cripto Ativo Simbolo'!A:B,2,FALSE),"")</f>
        <v/>
      </c>
      <c r="J67" s="7" t="str">
        <f>IF(I67&lt;&gt;"",VLOOKUP(I67,'Tipo NI'!A:B,2,FALSE),"")</f>
        <v/>
      </c>
      <c r="L67" s="7" t="str">
        <f>IF(K67&lt;&gt;"",VLOOKUP(K67,País!A:B,2,FALSE),"")</f>
        <v/>
      </c>
      <c r="R67" s="7" t="str">
        <f>IF(Q67&lt;&gt;"",VLOOKUP(Q67,'Tipo NI'!A:B,2,FALSE),"")</f>
        <v/>
      </c>
      <c r="T67" s="7" t="str">
        <f>IF(S67&lt;&gt;"",VLOOKUP(S67,País!A:B,2,FALSE),"")</f>
        <v/>
      </c>
    </row>
    <row r="68" spans="2:20" x14ac:dyDescent="0.3">
      <c r="B68" s="14" t="str">
        <f t="shared" si="1"/>
        <v/>
      </c>
      <c r="G68" s="7" t="str">
        <f>IF(F68&lt;&gt;"",VLOOKUP(F68,'Cripto Ativo Simbolo'!A:B,2,FALSE),"")</f>
        <v/>
      </c>
      <c r="J68" s="7" t="str">
        <f>IF(I68&lt;&gt;"",VLOOKUP(I68,'Tipo NI'!A:B,2,FALSE),"")</f>
        <v/>
      </c>
      <c r="L68" s="7" t="str">
        <f>IF(K68&lt;&gt;"",VLOOKUP(K68,País!A:B,2,FALSE),"")</f>
        <v/>
      </c>
      <c r="R68" s="7" t="str">
        <f>IF(Q68&lt;&gt;"",VLOOKUP(Q68,'Tipo NI'!A:B,2,FALSE),"")</f>
        <v/>
      </c>
      <c r="T68" s="7" t="str">
        <f>IF(S68&lt;&gt;"",VLOOKUP(S68,País!A:B,2,FALSE),"")</f>
        <v/>
      </c>
    </row>
    <row r="69" spans="2:20" x14ac:dyDescent="0.3">
      <c r="B69" s="14" t="str">
        <f t="shared" si="1"/>
        <v/>
      </c>
      <c r="G69" s="7" t="str">
        <f>IF(F69&lt;&gt;"",VLOOKUP(F69,'Cripto Ativo Simbolo'!A:B,2,FALSE),"")</f>
        <v/>
      </c>
      <c r="J69" s="7" t="str">
        <f>IF(I69&lt;&gt;"",VLOOKUP(I69,'Tipo NI'!A:B,2,FALSE),"")</f>
        <v/>
      </c>
      <c r="L69" s="7" t="str">
        <f>IF(K69&lt;&gt;"",VLOOKUP(K69,País!A:B,2,FALSE),"")</f>
        <v/>
      </c>
      <c r="R69" s="7" t="str">
        <f>IF(Q69&lt;&gt;"",VLOOKUP(Q69,'Tipo NI'!A:B,2,FALSE),"")</f>
        <v/>
      </c>
      <c r="T69" s="7" t="str">
        <f>IF(S69&lt;&gt;"",VLOOKUP(S69,País!A:B,2,FALSE),"")</f>
        <v/>
      </c>
    </row>
    <row r="70" spans="2:20" x14ac:dyDescent="0.3">
      <c r="B70" s="14" t="str">
        <f t="shared" si="1"/>
        <v/>
      </c>
      <c r="G70" s="7" t="str">
        <f>IF(F70&lt;&gt;"",VLOOKUP(F70,'Cripto Ativo Simbolo'!A:B,2,FALSE),"")</f>
        <v/>
      </c>
      <c r="J70" s="7" t="str">
        <f>IF(I70&lt;&gt;"",VLOOKUP(I70,'Tipo NI'!A:B,2,FALSE),"")</f>
        <v/>
      </c>
      <c r="L70" s="7" t="str">
        <f>IF(K70&lt;&gt;"",VLOOKUP(K70,País!A:B,2,FALSE),"")</f>
        <v/>
      </c>
      <c r="R70" s="7" t="str">
        <f>IF(Q70&lt;&gt;"",VLOOKUP(Q70,'Tipo NI'!A:B,2,FALSE),"")</f>
        <v/>
      </c>
      <c r="T70" s="7" t="str">
        <f>IF(S70&lt;&gt;"",VLOOKUP(S70,País!A:B,2,FALSE),"")</f>
        <v/>
      </c>
    </row>
    <row r="71" spans="2:20" x14ac:dyDescent="0.3">
      <c r="B71" s="14" t="str">
        <f t="shared" si="1"/>
        <v/>
      </c>
      <c r="G71" s="7" t="str">
        <f>IF(F71&lt;&gt;"",VLOOKUP(F71,'Cripto Ativo Simbolo'!A:B,2,FALSE),"")</f>
        <v/>
      </c>
      <c r="J71" s="7" t="str">
        <f>IF(I71&lt;&gt;"",VLOOKUP(I71,'Tipo NI'!A:B,2,FALSE),"")</f>
        <v/>
      </c>
      <c r="L71" s="7" t="str">
        <f>IF(K71&lt;&gt;"",VLOOKUP(K71,País!A:B,2,FALSE),"")</f>
        <v/>
      </c>
      <c r="R71" s="7" t="str">
        <f>IF(Q71&lt;&gt;"",VLOOKUP(Q71,'Tipo NI'!A:B,2,FALSE),"")</f>
        <v/>
      </c>
      <c r="T71" s="7" t="str">
        <f>IF(S71&lt;&gt;"",VLOOKUP(S71,País!A:B,2,FALSE),"")</f>
        <v/>
      </c>
    </row>
    <row r="72" spans="2:20" x14ac:dyDescent="0.3">
      <c r="B72" s="14" t="str">
        <f t="shared" si="1"/>
        <v/>
      </c>
      <c r="G72" s="7" t="str">
        <f>IF(F72&lt;&gt;"",VLOOKUP(F72,'Cripto Ativo Simbolo'!A:B,2,FALSE),"")</f>
        <v/>
      </c>
      <c r="J72" s="7" t="str">
        <f>IF(I72&lt;&gt;"",VLOOKUP(I72,'Tipo NI'!A:B,2,FALSE),"")</f>
        <v/>
      </c>
      <c r="L72" s="7" t="str">
        <f>IF(K72&lt;&gt;"",VLOOKUP(K72,País!A:B,2,FALSE),"")</f>
        <v/>
      </c>
      <c r="R72" s="7" t="str">
        <f>IF(Q72&lt;&gt;"",VLOOKUP(Q72,'Tipo NI'!A:B,2,FALSE),"")</f>
        <v/>
      </c>
      <c r="T72" s="7" t="str">
        <f>IF(S72&lt;&gt;"",VLOOKUP(S72,País!A:B,2,FALSE),"")</f>
        <v/>
      </c>
    </row>
    <row r="73" spans="2:20" x14ac:dyDescent="0.3">
      <c r="B73" s="14" t="str">
        <f t="shared" si="1"/>
        <v/>
      </c>
      <c r="G73" s="7" t="str">
        <f>IF(F73&lt;&gt;"",VLOOKUP(F73,'Cripto Ativo Simbolo'!A:B,2,FALSE),"")</f>
        <v/>
      </c>
      <c r="J73" s="7" t="str">
        <f>IF(I73&lt;&gt;"",VLOOKUP(I73,'Tipo NI'!A:B,2,FALSE),"")</f>
        <v/>
      </c>
      <c r="L73" s="7" t="str">
        <f>IF(K73&lt;&gt;"",VLOOKUP(K73,País!A:B,2,FALSE),"")</f>
        <v/>
      </c>
      <c r="R73" s="7" t="str">
        <f>IF(Q73&lt;&gt;"",VLOOKUP(Q73,'Tipo NI'!A:B,2,FALSE),"")</f>
        <v/>
      </c>
      <c r="T73" s="7" t="str">
        <f>IF(S73&lt;&gt;"",VLOOKUP(S73,País!A:B,2,FALSE),"")</f>
        <v/>
      </c>
    </row>
    <row r="74" spans="2:20" x14ac:dyDescent="0.3">
      <c r="B74" s="14" t="str">
        <f t="shared" si="1"/>
        <v/>
      </c>
      <c r="G74" s="7" t="str">
        <f>IF(F74&lt;&gt;"",VLOOKUP(F74,'Cripto Ativo Simbolo'!A:B,2,FALSE),"")</f>
        <v/>
      </c>
      <c r="J74" s="7" t="str">
        <f>IF(I74&lt;&gt;"",VLOOKUP(I74,'Tipo NI'!A:B,2,FALSE),"")</f>
        <v/>
      </c>
      <c r="L74" s="7" t="str">
        <f>IF(K74&lt;&gt;"",VLOOKUP(K74,País!A:B,2,FALSE),"")</f>
        <v/>
      </c>
      <c r="R74" s="7" t="str">
        <f>IF(Q74&lt;&gt;"",VLOOKUP(Q74,'Tipo NI'!A:B,2,FALSE),"")</f>
        <v/>
      </c>
      <c r="T74" s="7" t="str">
        <f>IF(S74&lt;&gt;"",VLOOKUP(S74,País!A:B,2,FALSE),"")</f>
        <v/>
      </c>
    </row>
    <row r="75" spans="2:20" x14ac:dyDescent="0.3">
      <c r="B75" s="14" t="str">
        <f t="shared" si="1"/>
        <v/>
      </c>
      <c r="G75" s="7" t="str">
        <f>IF(F75&lt;&gt;"",VLOOKUP(F75,'Cripto Ativo Simbolo'!A:B,2,FALSE),"")</f>
        <v/>
      </c>
      <c r="J75" s="7" t="str">
        <f>IF(I75&lt;&gt;"",VLOOKUP(I75,'Tipo NI'!A:B,2,FALSE),"")</f>
        <v/>
      </c>
      <c r="L75" s="7" t="str">
        <f>IF(K75&lt;&gt;"",VLOOKUP(K75,País!A:B,2,FALSE),"")</f>
        <v/>
      </c>
      <c r="R75" s="7" t="str">
        <f>IF(Q75&lt;&gt;"",VLOOKUP(Q75,'Tipo NI'!A:B,2,FALSE),"")</f>
        <v/>
      </c>
      <c r="T75" s="7" t="str">
        <f>IF(S75&lt;&gt;"",VLOOKUP(S75,País!A:B,2,FALSE),"")</f>
        <v/>
      </c>
    </row>
    <row r="76" spans="2:20" x14ac:dyDescent="0.3">
      <c r="B76" s="14" t="str">
        <f t="shared" si="1"/>
        <v/>
      </c>
      <c r="G76" s="7" t="str">
        <f>IF(F76&lt;&gt;"",VLOOKUP(F76,'Cripto Ativo Simbolo'!A:B,2,FALSE),"")</f>
        <v/>
      </c>
      <c r="J76" s="7" t="str">
        <f>IF(I76&lt;&gt;"",VLOOKUP(I76,'Tipo NI'!A:B,2,FALSE),"")</f>
        <v/>
      </c>
      <c r="L76" s="7" t="str">
        <f>IF(K76&lt;&gt;"",VLOOKUP(K76,País!A:B,2,FALSE),"")</f>
        <v/>
      </c>
      <c r="R76" s="7" t="str">
        <f>IF(Q76&lt;&gt;"",VLOOKUP(Q76,'Tipo NI'!A:B,2,FALSE),"")</f>
        <v/>
      </c>
      <c r="T76" s="7" t="str">
        <f>IF(S76&lt;&gt;"",VLOOKUP(S76,País!A:B,2,FALSE),"")</f>
        <v/>
      </c>
    </row>
    <row r="77" spans="2:20" x14ac:dyDescent="0.3">
      <c r="B77" s="14" t="str">
        <f t="shared" si="1"/>
        <v/>
      </c>
      <c r="G77" s="7" t="str">
        <f>IF(F77&lt;&gt;"",VLOOKUP(F77,'Cripto Ativo Simbolo'!A:B,2,FALSE),"")</f>
        <v/>
      </c>
      <c r="J77" s="7" t="str">
        <f>IF(I77&lt;&gt;"",VLOOKUP(I77,'Tipo NI'!A:B,2,FALSE),"")</f>
        <v/>
      </c>
      <c r="L77" s="7" t="str">
        <f>IF(K77&lt;&gt;"",VLOOKUP(K77,País!A:B,2,FALSE),"")</f>
        <v/>
      </c>
      <c r="R77" s="7" t="str">
        <f>IF(Q77&lt;&gt;"",VLOOKUP(Q77,'Tipo NI'!A:B,2,FALSE),"")</f>
        <v/>
      </c>
      <c r="T77" s="7" t="str">
        <f>IF(S77&lt;&gt;"",VLOOKUP(S77,País!A:B,2,FALSE),"")</f>
        <v/>
      </c>
    </row>
    <row r="78" spans="2:20" x14ac:dyDescent="0.3">
      <c r="B78" s="14" t="str">
        <f t="shared" si="1"/>
        <v/>
      </c>
      <c r="G78" s="7" t="str">
        <f>IF(F78&lt;&gt;"",VLOOKUP(F78,'Cripto Ativo Simbolo'!A:B,2,FALSE),"")</f>
        <v/>
      </c>
      <c r="J78" s="7" t="str">
        <f>IF(I78&lt;&gt;"",VLOOKUP(I78,'Tipo NI'!A:B,2,FALSE),"")</f>
        <v/>
      </c>
      <c r="L78" s="7" t="str">
        <f>IF(K78&lt;&gt;"",VLOOKUP(K78,País!A:B,2,FALSE),"")</f>
        <v/>
      </c>
      <c r="R78" s="7" t="str">
        <f>IF(Q78&lt;&gt;"",VLOOKUP(Q78,'Tipo NI'!A:B,2,FALSE),"")</f>
        <v/>
      </c>
      <c r="T78" s="7" t="str">
        <f>IF(S78&lt;&gt;"",VLOOKUP(S78,País!A:B,2,FALSE),"")</f>
        <v/>
      </c>
    </row>
    <row r="79" spans="2:20" x14ac:dyDescent="0.3">
      <c r="B79" s="14" t="str">
        <f t="shared" si="1"/>
        <v/>
      </c>
      <c r="G79" s="7" t="str">
        <f>IF(F79&lt;&gt;"",VLOOKUP(F79,'Cripto Ativo Simbolo'!A:B,2,FALSE),"")</f>
        <v/>
      </c>
      <c r="J79" s="7" t="str">
        <f>IF(I79&lt;&gt;"",VLOOKUP(I79,'Tipo NI'!A:B,2,FALSE),"")</f>
        <v/>
      </c>
      <c r="L79" s="7" t="str">
        <f>IF(K79&lt;&gt;"",VLOOKUP(K79,País!A:B,2,FALSE),"")</f>
        <v/>
      </c>
      <c r="R79" s="7" t="str">
        <f>IF(Q79&lt;&gt;"",VLOOKUP(Q79,'Tipo NI'!A:B,2,FALSE),"")</f>
        <v/>
      </c>
      <c r="T79" s="7" t="str">
        <f>IF(S79&lt;&gt;"",VLOOKUP(S79,País!A:B,2,FALSE),"")</f>
        <v/>
      </c>
    </row>
    <row r="80" spans="2:20" x14ac:dyDescent="0.3">
      <c r="B80" s="14" t="str">
        <f t="shared" si="1"/>
        <v/>
      </c>
      <c r="G80" s="7" t="str">
        <f>IF(F80&lt;&gt;"",VLOOKUP(F80,'Cripto Ativo Simbolo'!A:B,2,FALSE),"")</f>
        <v/>
      </c>
      <c r="J80" s="7" t="str">
        <f>IF(I80&lt;&gt;"",VLOOKUP(I80,'Tipo NI'!A:B,2,FALSE),"")</f>
        <v/>
      </c>
      <c r="L80" s="7" t="str">
        <f>IF(K80&lt;&gt;"",VLOOKUP(K80,País!A:B,2,FALSE),"")</f>
        <v/>
      </c>
      <c r="R80" s="7" t="str">
        <f>IF(Q80&lt;&gt;"",VLOOKUP(Q80,'Tipo NI'!A:B,2,FALSE),"")</f>
        <v/>
      </c>
      <c r="T80" s="7" t="str">
        <f>IF(S80&lt;&gt;"",VLOOKUP(S80,País!A:B,2,FALSE),"")</f>
        <v/>
      </c>
    </row>
    <row r="81" spans="2:20" x14ac:dyDescent="0.3">
      <c r="B81" s="14" t="str">
        <f t="shared" si="1"/>
        <v/>
      </c>
      <c r="G81" s="7" t="str">
        <f>IF(F81&lt;&gt;"",VLOOKUP(F81,'Cripto Ativo Simbolo'!A:B,2,FALSE),"")</f>
        <v/>
      </c>
      <c r="J81" s="7" t="str">
        <f>IF(I81&lt;&gt;"",VLOOKUP(I81,'Tipo NI'!A:B,2,FALSE),"")</f>
        <v/>
      </c>
      <c r="L81" s="7" t="str">
        <f>IF(K81&lt;&gt;"",VLOOKUP(K81,País!A:B,2,FALSE),"")</f>
        <v/>
      </c>
      <c r="R81" s="7" t="str">
        <f>IF(Q81&lt;&gt;"",VLOOKUP(Q81,'Tipo NI'!A:B,2,FALSE),"")</f>
        <v/>
      </c>
      <c r="T81" s="7" t="str">
        <f>IF(S81&lt;&gt;"",VLOOKUP(S81,País!A:B,2,FALSE),"")</f>
        <v/>
      </c>
    </row>
    <row r="82" spans="2:20" x14ac:dyDescent="0.3">
      <c r="B82" s="14" t="str">
        <f t="shared" si="1"/>
        <v/>
      </c>
      <c r="G82" s="7" t="str">
        <f>IF(F82&lt;&gt;"",VLOOKUP(F82,'Cripto Ativo Simbolo'!A:B,2,FALSE),"")</f>
        <v/>
      </c>
      <c r="J82" s="7" t="str">
        <f>IF(I82&lt;&gt;"",VLOOKUP(I82,'Tipo NI'!A:B,2,FALSE),"")</f>
        <v/>
      </c>
      <c r="L82" s="7" t="str">
        <f>IF(K82&lt;&gt;"",VLOOKUP(K82,País!A:B,2,FALSE),"")</f>
        <v/>
      </c>
      <c r="R82" s="7" t="str">
        <f>IF(Q82&lt;&gt;"",VLOOKUP(Q82,'Tipo NI'!A:B,2,FALSE),"")</f>
        <v/>
      </c>
      <c r="T82" s="7" t="str">
        <f>IF(S82&lt;&gt;"",VLOOKUP(S82,País!A:B,2,FALSE),"")</f>
        <v/>
      </c>
    </row>
    <row r="83" spans="2:20" x14ac:dyDescent="0.3">
      <c r="B83" s="14" t="str">
        <f t="shared" si="1"/>
        <v/>
      </c>
      <c r="G83" s="7" t="str">
        <f>IF(F83&lt;&gt;"",VLOOKUP(F83,'Cripto Ativo Simbolo'!A:B,2,FALSE),"")</f>
        <v/>
      </c>
      <c r="J83" s="7" t="str">
        <f>IF(I83&lt;&gt;"",VLOOKUP(I83,'Tipo NI'!A:B,2,FALSE),"")</f>
        <v/>
      </c>
      <c r="L83" s="7" t="str">
        <f>IF(K83&lt;&gt;"",VLOOKUP(K83,País!A:B,2,FALSE),"")</f>
        <v/>
      </c>
      <c r="R83" s="7" t="str">
        <f>IF(Q83&lt;&gt;"",VLOOKUP(Q83,'Tipo NI'!A:B,2,FALSE),"")</f>
        <v/>
      </c>
      <c r="T83" s="7" t="str">
        <f>IF(S83&lt;&gt;"",VLOOKUP(S83,País!A:B,2,FALSE),"")</f>
        <v/>
      </c>
    </row>
    <row r="84" spans="2:20" x14ac:dyDescent="0.3">
      <c r="B84" s="14" t="str">
        <f t="shared" si="1"/>
        <v/>
      </c>
      <c r="G84" s="7" t="str">
        <f>IF(F84&lt;&gt;"",VLOOKUP(F84,'Cripto Ativo Simbolo'!A:B,2,FALSE),"")</f>
        <v/>
      </c>
      <c r="J84" s="7" t="str">
        <f>IF(I84&lt;&gt;"",VLOOKUP(I84,'Tipo NI'!A:B,2,FALSE),"")</f>
        <v/>
      </c>
      <c r="L84" s="7" t="str">
        <f>IF(K84&lt;&gt;"",VLOOKUP(K84,País!A:B,2,FALSE),"")</f>
        <v/>
      </c>
      <c r="R84" s="7" t="str">
        <f>IF(Q84&lt;&gt;"",VLOOKUP(Q84,'Tipo NI'!A:B,2,FALSE),"")</f>
        <v/>
      </c>
      <c r="T84" s="7" t="str">
        <f>IF(S84&lt;&gt;"",VLOOKUP(S84,País!A:B,2,FALSE),"")</f>
        <v/>
      </c>
    </row>
    <row r="85" spans="2:20" x14ac:dyDescent="0.3">
      <c r="B85" s="14" t="str">
        <f t="shared" si="1"/>
        <v/>
      </c>
      <c r="G85" s="7" t="str">
        <f>IF(F85&lt;&gt;"",VLOOKUP(F85,'Cripto Ativo Simbolo'!A:B,2,FALSE),"")</f>
        <v/>
      </c>
      <c r="J85" s="7" t="str">
        <f>IF(I85&lt;&gt;"",VLOOKUP(I85,'Tipo NI'!A:B,2,FALSE),"")</f>
        <v/>
      </c>
      <c r="L85" s="7" t="str">
        <f>IF(K85&lt;&gt;"",VLOOKUP(K85,País!A:B,2,FALSE),"")</f>
        <v/>
      </c>
      <c r="R85" s="7" t="str">
        <f>IF(Q85&lt;&gt;"",VLOOKUP(Q85,'Tipo NI'!A:B,2,FALSE),"")</f>
        <v/>
      </c>
      <c r="T85" s="7" t="str">
        <f>IF(S85&lt;&gt;"",VLOOKUP(S85,País!A:B,2,FALSE),"")</f>
        <v/>
      </c>
    </row>
    <row r="86" spans="2:20" x14ac:dyDescent="0.3">
      <c r="B86" s="14" t="str">
        <f t="shared" si="1"/>
        <v/>
      </c>
      <c r="G86" s="7" t="str">
        <f>IF(F86&lt;&gt;"",VLOOKUP(F86,'Cripto Ativo Simbolo'!A:B,2,FALSE),"")</f>
        <v/>
      </c>
      <c r="J86" s="7" t="str">
        <f>IF(I86&lt;&gt;"",VLOOKUP(I86,'Tipo NI'!A:B,2,FALSE),"")</f>
        <v/>
      </c>
      <c r="L86" s="7" t="str">
        <f>IF(K86&lt;&gt;"",VLOOKUP(K86,País!A:B,2,FALSE),"")</f>
        <v/>
      </c>
      <c r="R86" s="7" t="str">
        <f>IF(Q86&lt;&gt;"",VLOOKUP(Q86,'Tipo NI'!A:B,2,FALSE),"")</f>
        <v/>
      </c>
      <c r="T86" s="7" t="str">
        <f>IF(S86&lt;&gt;"",VLOOKUP(S86,País!A:B,2,FALSE),"")</f>
        <v/>
      </c>
    </row>
    <row r="87" spans="2:20" x14ac:dyDescent="0.3">
      <c r="B87" s="14" t="str">
        <f t="shared" si="1"/>
        <v/>
      </c>
      <c r="G87" s="7" t="str">
        <f>IF(F87&lt;&gt;"",VLOOKUP(F87,'Cripto Ativo Simbolo'!A:B,2,FALSE),"")</f>
        <v/>
      </c>
      <c r="J87" s="7" t="str">
        <f>IF(I87&lt;&gt;"",VLOOKUP(I87,'Tipo NI'!A:B,2,FALSE),"")</f>
        <v/>
      </c>
      <c r="L87" s="7" t="str">
        <f>IF(K87&lt;&gt;"",VLOOKUP(K87,País!A:B,2,FALSE),"")</f>
        <v/>
      </c>
      <c r="R87" s="7" t="str">
        <f>IF(Q87&lt;&gt;"",VLOOKUP(Q87,'Tipo NI'!A:B,2,FALSE),"")</f>
        <v/>
      </c>
      <c r="T87" s="7" t="str">
        <f>IF(S87&lt;&gt;"",VLOOKUP(S87,País!A:B,2,FALSE),"")</f>
        <v/>
      </c>
    </row>
    <row r="88" spans="2:20" x14ac:dyDescent="0.3">
      <c r="B88" s="14" t="str">
        <f t="shared" si="1"/>
        <v/>
      </c>
      <c r="G88" s="7" t="str">
        <f>IF(F88&lt;&gt;"",VLOOKUP(F88,'Cripto Ativo Simbolo'!A:B,2,FALSE),"")</f>
        <v/>
      </c>
      <c r="J88" s="7" t="str">
        <f>IF(I88&lt;&gt;"",VLOOKUP(I88,'Tipo NI'!A:B,2,FALSE),"")</f>
        <v/>
      </c>
      <c r="L88" s="7" t="str">
        <f>IF(K88&lt;&gt;"",VLOOKUP(K88,País!A:B,2,FALSE),"")</f>
        <v/>
      </c>
      <c r="R88" s="7" t="str">
        <f>IF(Q88&lt;&gt;"",VLOOKUP(Q88,'Tipo NI'!A:B,2,FALSE),"")</f>
        <v/>
      </c>
      <c r="T88" s="7" t="str">
        <f>IF(S88&lt;&gt;"",VLOOKUP(S88,País!A:B,2,FALSE),"")</f>
        <v/>
      </c>
    </row>
    <row r="89" spans="2:20" x14ac:dyDescent="0.3">
      <c r="B89" s="14" t="str">
        <f t="shared" si="1"/>
        <v/>
      </c>
      <c r="G89" s="7" t="str">
        <f>IF(F89&lt;&gt;"",VLOOKUP(F89,'Cripto Ativo Simbolo'!A:B,2,FALSE),"")</f>
        <v/>
      </c>
      <c r="J89" s="7" t="str">
        <f>IF(I89&lt;&gt;"",VLOOKUP(I89,'Tipo NI'!A:B,2,FALSE),"")</f>
        <v/>
      </c>
      <c r="L89" s="7" t="str">
        <f>IF(K89&lt;&gt;"",VLOOKUP(K89,País!A:B,2,FALSE),"")</f>
        <v/>
      </c>
      <c r="R89" s="7" t="str">
        <f>IF(Q89&lt;&gt;"",VLOOKUP(Q89,'Tipo NI'!A:B,2,FALSE),"")</f>
        <v/>
      </c>
      <c r="T89" s="7" t="str">
        <f>IF(S89&lt;&gt;"",VLOOKUP(S89,País!A:B,2,FALSE),"")</f>
        <v/>
      </c>
    </row>
    <row r="90" spans="2:20" x14ac:dyDescent="0.3">
      <c r="B90" s="14" t="str">
        <f t="shared" si="1"/>
        <v/>
      </c>
      <c r="G90" s="7" t="str">
        <f>IF(F90&lt;&gt;"",VLOOKUP(F90,'Cripto Ativo Simbolo'!A:B,2,FALSE),"")</f>
        <v/>
      </c>
      <c r="J90" s="7" t="str">
        <f>IF(I90&lt;&gt;"",VLOOKUP(I90,'Tipo NI'!A:B,2,FALSE),"")</f>
        <v/>
      </c>
      <c r="L90" s="7" t="str">
        <f>IF(K90&lt;&gt;"",VLOOKUP(K90,País!A:B,2,FALSE),"")</f>
        <v/>
      </c>
      <c r="R90" s="7" t="str">
        <f>IF(Q90&lt;&gt;"",VLOOKUP(Q90,'Tipo NI'!A:B,2,FALSE),"")</f>
        <v/>
      </c>
      <c r="T90" s="7" t="str">
        <f>IF(S90&lt;&gt;"",VLOOKUP(S90,País!A:B,2,FALSE),"")</f>
        <v/>
      </c>
    </row>
    <row r="91" spans="2:20" x14ac:dyDescent="0.3">
      <c r="B91" s="14" t="str">
        <f t="shared" si="1"/>
        <v/>
      </c>
      <c r="G91" s="7" t="str">
        <f>IF(F91&lt;&gt;"",VLOOKUP(F91,'Cripto Ativo Simbolo'!A:B,2,FALSE),"")</f>
        <v/>
      </c>
      <c r="J91" s="7" t="str">
        <f>IF(I91&lt;&gt;"",VLOOKUP(I91,'Tipo NI'!A:B,2,FALSE),"")</f>
        <v/>
      </c>
      <c r="L91" s="7" t="str">
        <f>IF(K91&lt;&gt;"",VLOOKUP(K91,País!A:B,2,FALSE),"")</f>
        <v/>
      </c>
      <c r="R91" s="7" t="str">
        <f>IF(Q91&lt;&gt;"",VLOOKUP(Q91,'Tipo NI'!A:B,2,FALSE),"")</f>
        <v/>
      </c>
      <c r="T91" s="7" t="str">
        <f>IF(S91&lt;&gt;"",VLOOKUP(S91,País!A:B,2,FALSE),"")</f>
        <v/>
      </c>
    </row>
    <row r="92" spans="2:20" x14ac:dyDescent="0.3">
      <c r="B92" s="14" t="str">
        <f t="shared" si="1"/>
        <v/>
      </c>
      <c r="G92" s="7" t="str">
        <f>IF(F92&lt;&gt;"",VLOOKUP(F92,'Cripto Ativo Simbolo'!A:B,2,FALSE),"")</f>
        <v/>
      </c>
      <c r="J92" s="7" t="str">
        <f>IF(I92&lt;&gt;"",VLOOKUP(I92,'Tipo NI'!A:B,2,FALSE),"")</f>
        <v/>
      </c>
      <c r="L92" s="7" t="str">
        <f>IF(K92&lt;&gt;"",VLOOKUP(K92,País!A:B,2,FALSE),"")</f>
        <v/>
      </c>
      <c r="R92" s="7" t="str">
        <f>IF(Q92&lt;&gt;"",VLOOKUP(Q92,'Tipo NI'!A:B,2,FALSE),"")</f>
        <v/>
      </c>
      <c r="T92" s="7" t="str">
        <f>IF(S92&lt;&gt;"",VLOOKUP(S92,País!A:B,2,FALSE),"")</f>
        <v/>
      </c>
    </row>
    <row r="93" spans="2:20" x14ac:dyDescent="0.3">
      <c r="B93" s="14" t="str">
        <f t="shared" si="1"/>
        <v/>
      </c>
      <c r="G93" s="7" t="str">
        <f>IF(F93&lt;&gt;"",VLOOKUP(F93,'Cripto Ativo Simbolo'!A:B,2,FALSE),"")</f>
        <v/>
      </c>
      <c r="J93" s="7" t="str">
        <f>IF(I93&lt;&gt;"",VLOOKUP(I93,'Tipo NI'!A:B,2,FALSE),"")</f>
        <v/>
      </c>
      <c r="L93" s="7" t="str">
        <f>IF(K93&lt;&gt;"",VLOOKUP(K93,País!A:B,2,FALSE),"")</f>
        <v/>
      </c>
      <c r="R93" s="7" t="str">
        <f>IF(Q93&lt;&gt;"",VLOOKUP(Q93,'Tipo NI'!A:B,2,FALSE),"")</f>
        <v/>
      </c>
      <c r="T93" s="7" t="str">
        <f>IF(S93&lt;&gt;"",VLOOKUP(S93,País!A:B,2,FALSE),"")</f>
        <v/>
      </c>
    </row>
    <row r="94" spans="2:20" x14ac:dyDescent="0.3">
      <c r="B94" s="14" t="str">
        <f t="shared" si="1"/>
        <v/>
      </c>
      <c r="G94" s="7" t="str">
        <f>IF(F94&lt;&gt;"",VLOOKUP(F94,'Cripto Ativo Simbolo'!A:B,2,FALSE),"")</f>
        <v/>
      </c>
      <c r="J94" s="7" t="str">
        <f>IF(I94&lt;&gt;"",VLOOKUP(I94,'Tipo NI'!A:B,2,FALSE),"")</f>
        <v/>
      </c>
      <c r="L94" s="7" t="str">
        <f>IF(K94&lt;&gt;"",VLOOKUP(K94,País!A:B,2,FALSE),"")</f>
        <v/>
      </c>
      <c r="R94" s="7" t="str">
        <f>IF(Q94&lt;&gt;"",VLOOKUP(Q94,'Tipo NI'!A:B,2,FALSE),"")</f>
        <v/>
      </c>
      <c r="T94" s="7" t="str">
        <f>IF(S94&lt;&gt;"",VLOOKUP(S94,País!A:B,2,FALSE),"")</f>
        <v/>
      </c>
    </row>
    <row r="95" spans="2:20" x14ac:dyDescent="0.3">
      <c r="B95" s="14" t="str">
        <f t="shared" si="1"/>
        <v/>
      </c>
      <c r="G95" s="7" t="str">
        <f>IF(F95&lt;&gt;"",VLOOKUP(F95,'Cripto Ativo Simbolo'!A:B,2,FALSE),"")</f>
        <v/>
      </c>
      <c r="J95" s="7" t="str">
        <f>IF(I95&lt;&gt;"",VLOOKUP(I95,'Tipo NI'!A:B,2,FALSE),"")</f>
        <v/>
      </c>
      <c r="L95" s="7" t="str">
        <f>IF(K95&lt;&gt;"",VLOOKUP(K95,País!A:B,2,FALSE),"")</f>
        <v/>
      </c>
      <c r="R95" s="7" t="str">
        <f>IF(Q95&lt;&gt;"",VLOOKUP(Q95,'Tipo NI'!A:B,2,FALSE),"")</f>
        <v/>
      </c>
      <c r="T95" s="7" t="str">
        <f>IF(S95&lt;&gt;"",VLOOKUP(S95,País!A:B,2,FALSE),"")</f>
        <v/>
      </c>
    </row>
    <row r="96" spans="2:20" x14ac:dyDescent="0.3">
      <c r="B96" s="14" t="str">
        <f t="shared" si="1"/>
        <v/>
      </c>
      <c r="G96" s="7" t="str">
        <f>IF(F96&lt;&gt;"",VLOOKUP(F96,'Cripto Ativo Simbolo'!A:B,2,FALSE),"")</f>
        <v/>
      </c>
      <c r="J96" s="7" t="str">
        <f>IF(I96&lt;&gt;"",VLOOKUP(I96,'Tipo NI'!A:B,2,FALSE),"")</f>
        <v/>
      </c>
      <c r="L96" s="7" t="str">
        <f>IF(K96&lt;&gt;"",VLOOKUP(K96,País!A:B,2,FALSE),"")</f>
        <v/>
      </c>
      <c r="R96" s="7" t="str">
        <f>IF(Q96&lt;&gt;"",VLOOKUP(Q96,'Tipo NI'!A:B,2,FALSE),"")</f>
        <v/>
      </c>
      <c r="T96" s="7" t="str">
        <f>IF(S96&lt;&gt;"",VLOOKUP(S96,País!A:B,2,FALSE),"")</f>
        <v/>
      </c>
    </row>
    <row r="97" spans="2:20" x14ac:dyDescent="0.3">
      <c r="B97" s="14" t="str">
        <f t="shared" si="1"/>
        <v/>
      </c>
      <c r="G97" s="7" t="str">
        <f>IF(F97&lt;&gt;"",VLOOKUP(F97,'Cripto Ativo Simbolo'!A:B,2,FALSE),"")</f>
        <v/>
      </c>
      <c r="J97" s="7" t="str">
        <f>IF(I97&lt;&gt;"",VLOOKUP(I97,'Tipo NI'!A:B,2,FALSE),"")</f>
        <v/>
      </c>
      <c r="L97" s="7" t="str">
        <f>IF(K97&lt;&gt;"",VLOOKUP(K97,País!A:B,2,FALSE),"")</f>
        <v/>
      </c>
      <c r="R97" s="7" t="str">
        <f>IF(Q97&lt;&gt;"",VLOOKUP(Q97,'Tipo NI'!A:B,2,FALSE),"")</f>
        <v/>
      </c>
      <c r="T97" s="7" t="str">
        <f>IF(S97&lt;&gt;"",VLOOKUP(S97,País!A:B,2,FALSE),"")</f>
        <v/>
      </c>
    </row>
    <row r="98" spans="2:20" x14ac:dyDescent="0.3">
      <c r="B98" s="14" t="str">
        <f t="shared" si="1"/>
        <v/>
      </c>
      <c r="G98" s="7" t="str">
        <f>IF(F98&lt;&gt;"",VLOOKUP(F98,'Cripto Ativo Simbolo'!A:B,2,FALSE),"")</f>
        <v/>
      </c>
      <c r="J98" s="7" t="str">
        <f>IF(I98&lt;&gt;"",VLOOKUP(I98,'Tipo NI'!A:B,2,FALSE),"")</f>
        <v/>
      </c>
      <c r="L98" s="7" t="str">
        <f>IF(K98&lt;&gt;"",VLOOKUP(K98,País!A:B,2,FALSE),"")</f>
        <v/>
      </c>
      <c r="R98" s="7" t="str">
        <f>IF(Q98&lt;&gt;"",VLOOKUP(Q98,'Tipo NI'!A:B,2,FALSE),"")</f>
        <v/>
      </c>
      <c r="T98" s="7" t="str">
        <f>IF(S98&lt;&gt;"",VLOOKUP(S98,País!A:B,2,FALSE),"")</f>
        <v/>
      </c>
    </row>
    <row r="99" spans="2:20" x14ac:dyDescent="0.3">
      <c r="B99" s="14" t="str">
        <f t="shared" si="1"/>
        <v/>
      </c>
      <c r="G99" s="7" t="str">
        <f>IF(F99&lt;&gt;"",VLOOKUP(F99,'Cripto Ativo Simbolo'!A:B,2,FALSE),"")</f>
        <v/>
      </c>
      <c r="J99" s="7" t="str">
        <f>IF(I99&lt;&gt;"",VLOOKUP(I99,'Tipo NI'!A:B,2,FALSE),"")</f>
        <v/>
      </c>
      <c r="L99" s="7" t="str">
        <f>IF(K99&lt;&gt;"",VLOOKUP(K99,País!A:B,2,FALSE),"")</f>
        <v/>
      </c>
      <c r="R99" s="7" t="str">
        <f>IF(Q99&lt;&gt;"",VLOOKUP(Q99,'Tipo NI'!A:B,2,FALSE),"")</f>
        <v/>
      </c>
      <c r="T99" s="7" t="str">
        <f>IF(S99&lt;&gt;"",VLOOKUP(S99,País!A:B,2,FALSE),"")</f>
        <v/>
      </c>
    </row>
    <row r="100" spans="2:20" x14ac:dyDescent="0.3">
      <c r="B100" s="14" t="str">
        <f t="shared" si="1"/>
        <v/>
      </c>
      <c r="G100" s="7" t="str">
        <f>IF(F100&lt;&gt;"",VLOOKUP(F100,'Cripto Ativo Simbolo'!A:B,2,FALSE),"")</f>
        <v/>
      </c>
      <c r="J100" s="7" t="str">
        <f>IF(I100&lt;&gt;"",VLOOKUP(I100,'Tipo NI'!A:B,2,FALSE),"")</f>
        <v/>
      </c>
      <c r="L100" s="7" t="str">
        <f>IF(K100&lt;&gt;"",VLOOKUP(K100,País!A:B,2,FALSE),"")</f>
        <v/>
      </c>
      <c r="R100" s="7" t="str">
        <f>IF(Q100&lt;&gt;"",VLOOKUP(Q100,'Tipo NI'!A:B,2,FALSE),"")</f>
        <v/>
      </c>
      <c r="T100" s="7" t="str">
        <f>IF(S100&lt;&gt;"",VLOOKUP(S100,País!A:B,2,FALSE),"")</f>
        <v/>
      </c>
    </row>
  </sheetData>
  <dataValidations count="1">
    <dataValidation type="list" allowBlank="1" showInputMessage="1" showErrorMessage="1" sqref="C2:C100" xr:uid="{8E968DA5-92B0-4980-AA64-2070B22308B0}">
      <formula1>"Compra,Venda"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A001E4-A781-4237-A3B8-E421A43EDCB3}">
          <x14:formula1>
            <xm:f>'Cripto Ativo Simbolo'!$A$2:$A$30</xm:f>
          </x14:formula1>
          <xm:sqref>F2:F5</xm:sqref>
        </x14:dataValidation>
        <x14:dataValidation type="list" allowBlank="1" showInputMessage="1" showErrorMessage="1" xr:uid="{17F6140F-8E1A-4B93-9829-0F179349C551}">
          <x14:formula1>
            <xm:f>'Tipo NI'!$A$2:$A$30</xm:f>
          </x14:formula1>
          <xm:sqref>I2:I5 Q2:Q5</xm:sqref>
        </x14:dataValidation>
        <x14:dataValidation type="list" allowBlank="1" showInputMessage="1" showErrorMessage="1" xr:uid="{67817D87-EEC4-46F0-B616-75E31FE15FE3}">
          <x14:formula1>
            <xm:f>País!$A$2:$A$300</xm:f>
          </x14:formula1>
          <xm:sqref>K2:K5 S2:S5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708AF-BE76-4007-A5F9-682D34764A1D}">
  <sheetPr codeName="Planilha6"/>
  <dimension ref="A1:B4"/>
  <sheetViews>
    <sheetView workbookViewId="0">
      <selection activeCell="B3" sqref="B3"/>
    </sheetView>
  </sheetViews>
  <sheetFormatPr defaultRowHeight="14.4" x14ac:dyDescent="0.3"/>
  <cols>
    <col min="1" max="2" width="15" bestFit="1" customWidth="1"/>
  </cols>
  <sheetData>
    <row r="1" spans="1:2" x14ac:dyDescent="0.3">
      <c r="A1" s="16" t="s">
        <v>56</v>
      </c>
      <c r="B1" s="20" t="s">
        <v>69</v>
      </c>
    </row>
    <row r="2" spans="1:2" x14ac:dyDescent="0.3">
      <c r="A2" s="18" t="s">
        <v>63</v>
      </c>
      <c r="B2" s="19">
        <v>30000</v>
      </c>
    </row>
    <row r="3" spans="1:2" ht="15" thickBot="1" x14ac:dyDescent="0.35">
      <c r="A3" s="21" t="s">
        <v>55</v>
      </c>
      <c r="B3" s="17">
        <f>SUMIF(Operações!B:B,'Resumo Mensal'!B1,Operações!D:D)</f>
        <v>0</v>
      </c>
    </row>
    <row r="4" spans="1:2" x14ac:dyDescent="0.3">
      <c r="B4" s="1" t="str">
        <f>IF(A4&lt;&gt;"",SUMIFS(Operações!D:D,Operações!M:M,'Resumo Mensal'!A4,Operações!B:B,$B$1),"")</f>
        <v/>
      </c>
    </row>
  </sheetData>
  <dataValidations count="1">
    <dataValidation type="list" allowBlank="1" showInputMessage="1" showErrorMessage="1" sqref="B1" xr:uid="{BF0BE244-BDB1-4868-9FE9-91C515385258}">
      <formula1>"01,02,03,04,05,06,07,08,09,10,11,12"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F887B-E99F-4BF7-A813-E811F295AD85}">
  <sheetPr codeName="Planilha5"/>
  <dimension ref="A1:B3"/>
  <sheetViews>
    <sheetView workbookViewId="0">
      <selection sqref="A1:B1"/>
    </sheetView>
  </sheetViews>
  <sheetFormatPr defaultRowHeight="14.4" x14ac:dyDescent="0.3"/>
  <cols>
    <col min="2" max="2" width="13.5546875" bestFit="1" customWidth="1"/>
  </cols>
  <sheetData>
    <row r="1" spans="1:2" x14ac:dyDescent="0.3">
      <c r="A1" s="2" t="s">
        <v>11</v>
      </c>
      <c r="B1" s="2" t="s">
        <v>13</v>
      </c>
    </row>
    <row r="2" spans="1:2" x14ac:dyDescent="0.3">
      <c r="A2" t="s">
        <v>51</v>
      </c>
      <c r="B2" t="s">
        <v>52</v>
      </c>
    </row>
    <row r="3" spans="1:2" x14ac:dyDescent="0.3">
      <c r="A3" t="s">
        <v>53</v>
      </c>
      <c r="B3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B7CF2-C68A-40FF-A9EE-AF102EE3DA24}">
  <sheetPr codeName="Planilha2"/>
  <dimension ref="A1:B10"/>
  <sheetViews>
    <sheetView workbookViewId="0">
      <selection activeCell="B4" sqref="B4"/>
    </sheetView>
  </sheetViews>
  <sheetFormatPr defaultRowHeight="14.4" x14ac:dyDescent="0.3"/>
  <cols>
    <col min="1" max="1" width="18" bestFit="1" customWidth="1"/>
    <col min="2" max="2" width="56.33203125" bestFit="1" customWidth="1"/>
  </cols>
  <sheetData>
    <row r="1" spans="1:2" x14ac:dyDescent="0.3">
      <c r="A1" s="2" t="s">
        <v>12</v>
      </c>
      <c r="B1" s="2" t="s">
        <v>13</v>
      </c>
    </row>
    <row r="2" spans="1:2" x14ac:dyDescent="0.3">
      <c r="A2" t="s">
        <v>25</v>
      </c>
      <c r="B2" t="s">
        <v>14</v>
      </c>
    </row>
    <row r="3" spans="1:2" x14ac:dyDescent="0.3">
      <c r="A3" t="s">
        <v>15</v>
      </c>
      <c r="B3" t="s">
        <v>16</v>
      </c>
    </row>
    <row r="4" spans="1:2" x14ac:dyDescent="0.3">
      <c r="A4" t="s">
        <v>17</v>
      </c>
      <c r="B4" t="s">
        <v>18</v>
      </c>
    </row>
    <row r="5" spans="1:2" x14ac:dyDescent="0.3">
      <c r="A5" t="s">
        <v>26</v>
      </c>
      <c r="B5" t="s">
        <v>19</v>
      </c>
    </row>
    <row r="6" spans="1:2" x14ac:dyDescent="0.3">
      <c r="A6" t="s">
        <v>27</v>
      </c>
      <c r="B6" t="s">
        <v>20</v>
      </c>
    </row>
    <row r="7" spans="1:2" x14ac:dyDescent="0.3">
      <c r="A7" t="s">
        <v>28</v>
      </c>
      <c r="B7" t="s">
        <v>21</v>
      </c>
    </row>
    <row r="8" spans="1:2" x14ac:dyDescent="0.3">
      <c r="A8" t="s">
        <v>29</v>
      </c>
      <c r="B8" t="s">
        <v>22</v>
      </c>
    </row>
    <row r="9" spans="1:2" x14ac:dyDescent="0.3">
      <c r="A9" t="s">
        <v>30</v>
      </c>
      <c r="B9" t="s">
        <v>23</v>
      </c>
    </row>
    <row r="10" spans="1:2" x14ac:dyDescent="0.3">
      <c r="A10" t="s">
        <v>31</v>
      </c>
      <c r="B10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99A48-0E99-42F6-B3A1-EA05276AE9B9}">
  <sheetPr codeName="Planilha3"/>
  <dimension ref="A1:B8"/>
  <sheetViews>
    <sheetView workbookViewId="0">
      <selection activeCell="B8" sqref="B8"/>
    </sheetView>
  </sheetViews>
  <sheetFormatPr defaultRowHeight="14.4" x14ac:dyDescent="0.3"/>
  <cols>
    <col min="1" max="1" width="13.33203125" bestFit="1" customWidth="1"/>
    <col min="2" max="2" width="47" bestFit="1" customWidth="1"/>
  </cols>
  <sheetData>
    <row r="1" spans="1:2" x14ac:dyDescent="0.3">
      <c r="A1" t="s">
        <v>32</v>
      </c>
      <c r="B1" t="s">
        <v>13</v>
      </c>
    </row>
    <row r="2" spans="1:2" x14ac:dyDescent="0.3">
      <c r="A2">
        <v>1</v>
      </c>
      <c r="B2" t="s">
        <v>33</v>
      </c>
    </row>
    <row r="3" spans="1:2" x14ac:dyDescent="0.3">
      <c r="A3">
        <v>2</v>
      </c>
      <c r="B3" t="s">
        <v>34</v>
      </c>
    </row>
    <row r="4" spans="1:2" x14ac:dyDescent="0.3">
      <c r="A4">
        <v>3</v>
      </c>
      <c r="B4" t="s">
        <v>35</v>
      </c>
    </row>
    <row r="5" spans="1:2" x14ac:dyDescent="0.3">
      <c r="A5">
        <v>4</v>
      </c>
      <c r="B5" t="s">
        <v>36</v>
      </c>
    </row>
    <row r="6" spans="1:2" x14ac:dyDescent="0.3">
      <c r="A6">
        <v>5</v>
      </c>
      <c r="B6" t="s">
        <v>37</v>
      </c>
    </row>
    <row r="7" spans="1:2" x14ac:dyDescent="0.3">
      <c r="A7">
        <v>6</v>
      </c>
      <c r="B7" t="s">
        <v>38</v>
      </c>
    </row>
    <row r="8" spans="1:2" x14ac:dyDescent="0.3">
      <c r="A8">
        <v>7</v>
      </c>
      <c r="B8" t="s">
        <v>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1D1DD-8E85-44B6-8906-E20C07B66EF2}">
  <sheetPr codeName="Planilha4"/>
  <dimension ref="A1:B6"/>
  <sheetViews>
    <sheetView workbookViewId="0">
      <selection activeCell="A7" sqref="A7"/>
    </sheetView>
  </sheetViews>
  <sheetFormatPr defaultRowHeight="14.4" x14ac:dyDescent="0.3"/>
  <cols>
    <col min="1" max="1" width="7.5546875" bestFit="1" customWidth="1"/>
    <col min="2" max="2" width="13.44140625" bestFit="1" customWidth="1"/>
  </cols>
  <sheetData>
    <row r="1" spans="1:2" x14ac:dyDescent="0.3">
      <c r="A1" t="s">
        <v>40</v>
      </c>
      <c r="B1" t="s">
        <v>13</v>
      </c>
    </row>
    <row r="2" spans="1:2" x14ac:dyDescent="0.3">
      <c r="A2" t="s">
        <v>41</v>
      </c>
      <c r="B2" t="s">
        <v>42</v>
      </c>
    </row>
    <row r="3" spans="1:2" x14ac:dyDescent="0.3">
      <c r="A3" t="s">
        <v>43</v>
      </c>
      <c r="B3" t="s">
        <v>44</v>
      </c>
    </row>
    <row r="4" spans="1:2" x14ac:dyDescent="0.3">
      <c r="A4" t="s">
        <v>45</v>
      </c>
      <c r="B4" t="s">
        <v>46</v>
      </c>
    </row>
    <row r="5" spans="1:2" x14ac:dyDescent="0.3">
      <c r="A5" t="s">
        <v>47</v>
      </c>
      <c r="B5" t="s">
        <v>48</v>
      </c>
    </row>
    <row r="6" spans="1:2" x14ac:dyDescent="0.3">
      <c r="A6" t="s">
        <v>49</v>
      </c>
      <c r="B6" t="s">
        <v>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Operações</vt:lpstr>
      <vt:lpstr>Resumo Mensal</vt:lpstr>
      <vt:lpstr>País</vt:lpstr>
      <vt:lpstr>Código Operação</vt:lpstr>
      <vt:lpstr>Tipo NI</vt:lpstr>
      <vt:lpstr>Cripto Ativo Simbolo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Jaison Carvalho</dc:creator>
  <cp:lastModifiedBy>Jaison Carvalho</cp:lastModifiedBy>
  <dcterms:created xsi:type="dcterms:W3CDTF">2019-08-05T12:02:37Z</dcterms:created>
  <dcterms:modified xsi:type="dcterms:W3CDTF">2019-08-05T16:29:04Z</dcterms:modified>
</cp:coreProperties>
</file>